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QA Overview" sheetId="1" r:id="rId1"/>
    <sheet name="Test Plan" sheetId="2" r:id="rId2"/>
    <sheet name="Test Scenarios" sheetId="3" r:id="rId3"/>
    <sheet name="Test Cases" sheetId="4" r:id="rId4"/>
    <sheet name="Regression Suite" sheetId="5" r:id="rId5"/>
    <sheet name="Smoke Test" sheetId="6" r:id="rId6"/>
    <sheet name="Access Control" sheetId="7" r:id="rId7"/>
    <sheet name="Security Test" sheetId="8" r:id="rId8"/>
    <sheet name="Compatibility Test" sheetId="9" r:id="rId9"/>
    <sheet name="Traceability Matrix" sheetId="10" r:id="rId10"/>
    <sheet name="Bug Report" sheetId="11" r:id="rId11"/>
    <sheet name="Test Execution" sheetId="12" r:id="rId12"/>
    <sheet name="Test Environment" sheetId="13" r:id="rId13"/>
    <sheet name="QA Checklist" sheetId="14" r:id="rId14"/>
    <sheet name="Dashboard" sheetId="15" r:id="rId15"/>
    <sheet name="Route Inventory" sheetId="16" r:id="rId16"/>
    <sheet name="Automated Tests" sheetId="17" r:id="rId17"/>
  </sheet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sz val="10"/>
      <name val="Calibri"/>
    </font>
    <font>
      <b/>
      <sz val="10"/>
      <color rgb="FFFFFFFF"/>
      <name val="Calibri"/>
    </font>
    <font>
      <b/>
      <sz val="14"/>
      <color rgb="FF0F172A"/>
      <name val="Calibri"/>
    </font>
    <font>
      <sz val="10"/>
      <color rgb="FF0F172A"/>
      <name val="Calibri"/>
    </font>
    <font>
      <b/>
      <sz val="10"/>
      <color rgb="FF0F172A"/>
      <name val="Calibri"/>
    </font>
    <font>
      <sz val="10"/>
      <color rgb="FF64748B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5CAD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1" xfId="0" applyFill="1" applyFont="1" applyBorder="1">
      <alignment horizontal="center" vertical="center" wrapText="1"/>
    </xf>
    <xf numFmtId="0" fontId="4" fillId="5" borderId="1" xfId="0" applyFill="1" applyFont="1" applyBorder="1">
      <alignment vertical="center" wrapText="1"/>
    </xf>
    <xf numFmtId="0" fontId="3" fillId="6" borderId="1" xfId="0" applyFill="1" applyBorder="1">
      <alignment vertical="top" wrapText="1"/>
    </xf>
    <xf numFmtId="0" fontId="3" fillId="6" borderId="1" xfId="0" applyFill="1" applyBorder="1">
      <alignment horizontal="right" vertical="top" wrapText="1"/>
    </xf>
  </cellXfs>
  <cellStyles count="1">
    <cellStyle name="Normal" xfId="0" builtinId="0"/>
  </cellStyles>
  <dxfs count="13">
    <dxf>
      <font>
        <color rgb="FF065F46"/>
      </font>
      <fill>
        <patternFill patternType="solid">
          <fgColor rgb="FFD1FAE5"/>
        </patternFill>
      </fill>
    </dxf>
    <dxf>
      <font>
        <color rgb="FF991B1B"/>
      </font>
      <fill>
        <patternFill patternType="solid">
          <fgColor rgb="FFFEE2E2"/>
        </patternFill>
      </fill>
    </dxf>
    <dxf>
      <font>
        <color rgb="FF9A3412"/>
      </font>
      <fill>
        <patternFill patternType="solid">
          <fgColor rgb="FFFFEDD5"/>
        </patternFill>
      </fill>
    </dxf>
    <dxf>
      <font>
        <color rgb="FF854D0E"/>
      </font>
      <fill>
        <patternFill patternType="solid">
          <fgColor rgb="FFFEF9C3"/>
        </patternFill>
      </fill>
    </dxf>
    <dxf>
      <font>
        <color rgb="FF374151"/>
      </font>
      <fill>
        <patternFill patternType="solid">
          <fgColor rgb="FFF3F4F6"/>
        </patternFill>
      </fill>
    </dxf>
    <dxf>
      <font>
        <color rgb="FF991B1B" bold="1"/>
      </font>
      <fill>
        <patternFill patternType="solid">
          <fgColor rgb="FFFEE2E2"/>
        </patternFill>
      </fill>
    </dxf>
    <dxf>
      <font>
        <color rgb="FF9A3412" bold="1"/>
      </font>
      <fill>
        <patternFill patternType="solid">
          <fgColor rgb="FFFFEDD5"/>
        </patternFill>
      </fill>
    </dxf>
    <dxf>
      <font>
        <color rgb="FF1D4ED8"/>
      </font>
      <fill>
        <patternFill patternType="solid">
          <fgColor rgb="FFDBEAFE"/>
        </patternFill>
      </fill>
    </dxf>
    <dxf>
      <font>
        <color rgb="FF374151"/>
      </font>
      <fill>
        <patternFill patternType="solid">
          <fgColor rgb="FFF3F4F6"/>
        </patternFill>
      </fill>
    </dxf>
    <dxf>
      <font>
        <color rgb="FF991B1B" bold="1"/>
      </font>
      <fill>
        <patternFill patternType="solid">
          <fgColor rgb="FFFEE2E2"/>
        </patternFill>
      </fill>
    </dxf>
    <dxf>
      <font>
        <color rgb="FF9A3412"/>
      </font>
      <fill>
        <patternFill patternType="solid">
          <fgColor rgb="FFFFEDD5"/>
        </patternFill>
      </fill>
    </dxf>
    <dxf>
      <font>
        <color rgb="FF854D0E"/>
      </font>
      <fill>
        <patternFill patternType="solid">
          <fgColor rgb="FFFEF9C3"/>
        </patternFill>
      </fill>
    </dxf>
    <dxf>
      <font>
        <color rgb="FF047857"/>
      </font>
      <fill>
        <patternFill patternType="solid">
          <fgColor rgb="FFECFDF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95" customWidth="1"/>
  </cols>
  <sheetData>
    <row r="1" ht="28" customHeight="1">
      <c r="A1" t="inlineStr" s="2">
        <is>
          <t>Field</t>
        </is>
      </c>
      <c r="B1" t="inlineStr" s="2">
        <is>
          <t>Value</t>
        </is>
      </c>
    </row>
    <row r="2" ht="22" customHeight="1">
      <c r="A2" t="inlineStr" s="4">
        <is>
          <t>Project Name</t>
        </is>
      </c>
      <c r="B2" t="inlineStr" s="4">
        <is>
          <t>Indotix</t>
        </is>
      </c>
    </row>
    <row r="3" ht="22" customHeight="1">
      <c r="A3" t="inlineStr" s="4">
        <is>
          <t>Application Type</t>
        </is>
      </c>
      <c r="B3" t="inlineStr" s="4">
        <is>
          <t>Laravel monolith web app + Inertia React frontend + Sanctum/Mobile API; Flutter companion app detected in sibling folder.</t>
        </is>
      </c>
    </row>
    <row r="4" ht="22" customHeight="1">
      <c r="A4" t="inlineStr" s="4">
        <is>
          <t>Framework</t>
        </is>
      </c>
      <c r="B4" t="inlineStr" s="4">
        <is>
          <t>PHP ^8.2; Laravel ^12.0; Fortify; Sanctum; Reverb; Spatie PDF</t>
        </is>
      </c>
    </row>
    <row r="5" ht="22" customHeight="1">
      <c r="A5" t="inlineStr" s="4">
        <is>
          <t>Frontend</t>
        </is>
      </c>
      <c r="B5" t="inlineStr" s="4">
        <is>
          <t>Inertia React ^2.3.7; React ^19.2.0; TypeScript; Tailwind ^4.0.0; Radix UI; Vite</t>
        </is>
      </c>
    </row>
    <row r="6" ht="22" customHeight="1">
      <c r="A6" t="inlineStr" s="4">
        <is>
          <t>Backend</t>
        </is>
      </c>
      <c r="B6" t="inlineStr" s="4">
        <is>
          <t>Laravel MVC/controllers/services/models/middleware with MySQL-compatible database configuration in .env.example.</t>
        </is>
      </c>
    </row>
    <row r="7" ht="22" customHeight="1">
      <c r="A7" t="inlineStr" s="4">
        <is>
          <t>Database</t>
        </is>
      </c>
      <c r="B7" t="inlineStr" s="4">
        <is>
          <t>Configured through Laravel database layer; models include User, MitraWisataOnboarding, WisataTicket, WisataBooking, Voucher, PublicBanner, PublicPartner, PublicPartOfLogo, etc.</t>
        </is>
      </c>
    </row>
    <row r="8" ht="22" customHeight="1">
      <c r="A8" t="inlineStr" s="4">
        <is>
          <t>QA Document Version</t>
        </is>
      </c>
      <c r="B8" t="inlineStr" s="4">
        <is>
          <t>1.0</t>
        </is>
      </c>
    </row>
    <row r="9" ht="22" customHeight="1">
      <c r="A9" t="inlineStr" s="4">
        <is>
          <t>Created Date</t>
        </is>
      </c>
      <c r="B9" t="inlineStr" s="4">
        <is>
          <t>2026-08-25</t>
        </is>
      </c>
    </row>
    <row r="10" ht="22" customHeight="1">
      <c r="A10" t="inlineStr" s="4">
        <is>
          <t>Prepared For</t>
        </is>
      </c>
      <c r="B10" t="inlineStr" s="4">
        <is>
          <t>Indotix QA Engineer / Project Stakeholders</t>
        </is>
      </c>
    </row>
    <row r="11" ht="22" customHeight="1">
      <c r="A11" t="inlineStr" s="4">
        <is>
          <t>Testing Scope</t>
        </is>
      </c>
      <c r="B11" t="inlineStr" s="4">
        <is>
          <t>Manual QA, regression, smoke, access-control, security-oriented validation, compatibility, and API coverage based on current codebase routes/controllers/pages/tests.</t>
        </is>
      </c>
    </row>
    <row r="12" ht="22" customHeight="1">
      <c r="A12" t="inlineStr" s="4">
        <is>
          <t>Testing Objective</t>
        </is>
      </c>
      <c r="B12" t="inlineStr" s="4">
        <is>
          <t>Validate tourism-first Indotix web/mobile API flows, admin/mitra/user roles, public content management, booking/payment/ticket scan, and retired module blocking before release.</t>
        </is>
      </c>
    </row>
    <row r="13" ht="22" customHeight="1">
      <c r="A13" t="inlineStr" s="4">
        <is>
          <t>Total Laravel Routes Analyzed</t>
        </is>
      </c>
      <c r="B13" s="5">
        <v>632</v>
      </c>
    </row>
    <row r="14" ht="22" customHeight="1">
      <c r="A14" t="inlineStr" s="4">
        <is>
          <t>Total Test Scenarios</t>
        </is>
      </c>
      <c r="B14" s="4">
        <f>COUNTA('Test Scenarios'!$A$2:$A$500)</f>
      </c>
    </row>
    <row r="15" ht="22" customHeight="1">
      <c r="A15" t="inlineStr" s="4">
        <is>
          <t>Total Test Cases</t>
        </is>
      </c>
      <c r="B15" s="4">
        <f>COUNTA('Test Cases'!$A$2:$A$1000)</f>
      </c>
    </row>
    <row r="16" ht="22" customHeight="1">
      <c r="A16" t="inlineStr" s="4">
        <is>
          <t>P0 Test Cases</t>
        </is>
      </c>
      <c r="B16" s="4">
        <f>COUNTIF('Test Cases'!$M$2:$M$1000,"P0")</f>
      </c>
    </row>
    <row r="17" ht="22" customHeight="1">
      <c r="A17" t="inlineStr" s="4">
        <is>
          <t>P1 Test Cases</t>
        </is>
      </c>
      <c r="B17" s="4">
        <f>COUNTIF('Test Cases'!$M$2:$M$1000,"P1")</f>
      </c>
    </row>
    <row r="18" ht="22" customHeight="1">
      <c r="A18" t="inlineStr" s="4">
        <is>
          <t>P2 Test Cases</t>
        </is>
      </c>
      <c r="B18" s="4">
        <f>COUNTIF('Test Cases'!$M$2:$M$1000,"P2")</f>
      </c>
    </row>
    <row r="19" ht="22" customHeight="1">
      <c r="A19" t="inlineStr" s="4">
        <is>
          <t>P3 Test Cases</t>
        </is>
      </c>
      <c r="B19" s="4">
        <f>COUNTIF('Test Cases'!$M$2:$M$1000,"P3")</f>
      </c>
    </row>
    <row r="20" ht="22" customHeight="1">
      <c r="A20" t="inlineStr" s="4">
        <is>
          <t>Passed</t>
        </is>
      </c>
      <c r="B20" s="4">
        <f>COUNTIF('Test Cases'!$L$2:$L$1000,"Passed")</f>
      </c>
    </row>
    <row r="21" ht="22" customHeight="1">
      <c r="A21" t="inlineStr" s="4">
        <is>
          <t>Failed</t>
        </is>
      </c>
      <c r="B21" s="4">
        <f>COUNTIF('Test Cases'!$L$2:$L$1000,"Failed")</f>
      </c>
    </row>
    <row r="22" ht="22" customHeight="1">
      <c r="A22" t="inlineStr" s="4">
        <is>
          <t>Blocked</t>
        </is>
      </c>
      <c r="B22" s="4">
        <f>COUNTIF('Test Cases'!$L$2:$L$1000,"Blocked")</f>
      </c>
    </row>
    <row r="23" ht="22" customHeight="1">
      <c r="A23" t="inlineStr" s="4">
        <is>
          <t>Not Run</t>
        </is>
      </c>
      <c r="B23" s="4">
        <f>COUNTIF('Test Cases'!$L$2:$L$1000,"Not Run")</f>
      </c>
    </row>
    <row r="24" ht="22" customHeight="1">
      <c r="A24" t="inlineStr" s="4">
        <is>
          <t>Retest</t>
        </is>
      </c>
      <c r="B24" s="4">
        <f>COUNTIF('Test Cases'!$L$2:$L$1000,"Retest")</f>
      </c>
    </row>
    <row r="25" ht="22" customHeight="1">
      <c r="A25" t="inlineStr" s="4">
        <is>
          <t>Executed</t>
        </is>
      </c>
      <c r="B25" s="4">
        <f>COUNTIFS('Test Cases'!$L$2:$L$1000,"&lt;&gt;Not Run",'Test Cases'!$L$2:$L$1000,"&lt;&gt;")</f>
      </c>
    </row>
    <row r="26" ht="22" customHeight="1">
      <c r="A26" t="inlineStr" s="4">
        <is>
          <t>Pass Rate</t>
        </is>
      </c>
      <c r="B26" s="4">
        <f>IFERROR(COUNTIF('Test Cases'!$L$2:$L$1000,"Passed")/COUNTIFS('Test Cases'!$L$2:$L$1000,"&lt;&gt;Not Run",'Test Cases'!$L$2:$L$1000,"&lt;&gt;"),0)</f>
      </c>
    </row>
    <row r="27" ht="22" customHeight="1">
      <c r="A27" t="inlineStr" s="4">
        <is>
          <t>Fail Rate</t>
        </is>
      </c>
      <c r="B27" s="4">
        <f>IFERROR(COUNTIF('Test Cases'!$L$2:$L$1000,"Failed")/COUNTIFS('Test Cases'!$L$2:$L$1000,"&lt;&gt;Not Run",'Test Cases'!$L$2:$L$1000,"&lt;&gt;"),0)</f>
      </c>
    </row>
    <row r="28" ht="22" customHeight="1">
      <c r="A28" t="inlineStr" s="4">
        <is>
          <t>Execution Progress</t>
        </is>
      </c>
      <c r="B28" s="4">
        <f>IFERROR(COUNTIFS('Test Cases'!$L$2:$L$1000,"&lt;&gt;Not Run",'Test Cases'!$L$2:$L$1000,"&lt;&gt;")/COUNTA('Test Cases'!$A$2:$A$1000),0)</f>
      </c>
    </row>
  </sheetData>
  <autoFilter ref="A1:B2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20" customWidth="1"/>
  </cols>
  <sheetData>
    <row r="1" ht="28" customHeight="1">
      <c r="A1" t="inlineStr" s="2">
        <is>
          <t>Section</t>
        </is>
      </c>
      <c r="B1" t="inlineStr" s="2">
        <is>
          <t>Description</t>
        </is>
      </c>
    </row>
    <row r="2" ht="22" customHeight="1">
      <c r="A2" t="inlineStr" s="4">
        <is>
          <t>Testing Objective</t>
        </is>
      </c>
      <c r="B2" t="inlineStr" s="4">
        <is>
          <t>Confirm Indotix can be released with correct tourism-first public UX, reliable user booking/payment/ticket-scan flows, safe admin/mitra operations, and role-based access control.</t>
        </is>
      </c>
    </row>
    <row r="3" ht="22" customHeight="1">
      <c r="A3" t="inlineStr" s="4">
        <is>
          <t>Testing Scope</t>
        </is>
      </c>
      <c r="B3" t="inlineStr" s="4">
        <is>
          <t>Web public pages, authenticated user flows, admin portal, mitra wisata portal, Sanctum mobile API, public content management, voucher, QR entry, e-ticket, notifications, profile, and regression of retired module blocking.</t>
        </is>
      </c>
    </row>
    <row r="4" ht="22" customHeight="1">
      <c r="A4" t="inlineStr" s="4">
        <is>
          <t>In Scope</t>
        </is>
      </c>
      <c r="B4" t="inlineStr" s="4">
        <is>
          <t>Functional, validation, negative, boundary, UI/UX, responsive, security-oriented, access-control, integration/API, smoke, regression, data integrity, error handling, and compatibility tests.</t>
        </is>
      </c>
    </row>
    <row r="5" ht="22" customHeight="1">
      <c r="A5" t="inlineStr" s="4">
        <is>
          <t>Out of Scope</t>
        </is>
      </c>
      <c r="B5" t="inlineStr" s="4">
        <is>
          <t>Production payment settlement, real WhatsApp/SMS/push delivery to customers, destructive production reset, penetration exploitation, and direct testing of hidden/retired business modules as active features.</t>
        </is>
      </c>
    </row>
    <row r="6" ht="22" customHeight="1">
      <c r="A6" t="inlineStr" s="4">
        <is>
          <t>Testing Approach</t>
        </is>
      </c>
      <c r="B6" t="inlineStr" s="4">
        <is>
          <t>Risk-based testing: P0/P1 cover auth, booking, payment, QR scan, ownership, admin/mitra data changes, and content that affects public conversion; P2/P3 cover lower-risk UI and legacy verification.</t>
        </is>
      </c>
    </row>
    <row r="7" ht="22" customHeight="1">
      <c r="A7" t="inlineStr" s="4">
        <is>
          <t>Testing Types</t>
        </is>
      </c>
      <c r="B7" t="inlineStr" s="4">
        <is>
          <t>Functional, UI, UX validation, negative, boundary, validation, authentication, authorization, security, integration, regression, smoke, compatibility, responsive, data integrity, error handling, and performance observation.</t>
        </is>
      </c>
    </row>
    <row r="8" ht="22" customHeight="1">
      <c r="A8" t="inlineStr" s="4">
        <is>
          <t>Entry Criteria</t>
        </is>
      </c>
      <c r="B8" t="inlineStr" s="4">
        <is>
          <t>QA environment deployed, database seeded with guest/user/admin/mitra test accounts, at least one live wisata destination with tickets and voucher, mail/payment providers configured to sandbox/fake mode.</t>
        </is>
      </c>
    </row>
    <row r="9" ht="22" customHeight="1">
      <c r="A9" t="inlineStr" s="4">
        <is>
          <t>Exit Criteria</t>
        </is>
      </c>
      <c r="B9" t="inlineStr" s="4">
        <is>
          <t>All P0 passed, no open Critical defects, no open High security/access-control defects, smoke suite passed, regression suite reviewed, release notes and known issues approved.</t>
        </is>
      </c>
    </row>
    <row r="10" ht="22" customHeight="1">
      <c r="A10" t="inlineStr" s="4">
        <is>
          <t>Suspension Criteria</t>
        </is>
      </c>
      <c r="B10" t="inlineStr" s="4">
        <is>
          <t>Environment unavailable, schema/migration mismatch prevents core testing, test data cannot be created safely, payment sandbox unavailable for payment test cycle, or critical blocker prevents login.</t>
        </is>
      </c>
    </row>
    <row r="11" ht="22" customHeight="1">
      <c r="A11" t="inlineStr" s="4">
        <is>
          <t>Resumption Criteria</t>
        </is>
      </c>
      <c r="B11" t="inlineStr" s="4">
        <is>
          <t>Environment restored, blocker fixed or workaround approved, test data reset/recreated, and failed cases retested.</t>
        </is>
      </c>
    </row>
    <row r="12" ht="22" customHeight="1">
      <c r="A12" t="inlineStr" s="4">
        <is>
          <t>Test Environment</t>
        </is>
      </c>
      <c r="B12" t="inlineStr" s="4">
        <is>
          <t>Laravel 12 app on QA/staging, MySQL-compatible DB, storage linked, mail sandbox/fake, Midtrans sandbox/fake, Redis optional, web browsers and mobile viewport/devices listed in Compatibility Test sheet.</t>
        </is>
      </c>
    </row>
    <row r="13" ht="22" customHeight="1">
      <c r="A13" t="inlineStr" s="4">
        <is>
          <t>Test Data Strategy</t>
        </is>
      </c>
      <c r="B13" t="inlineStr" s="4">
        <is>
          <t>Use non-sensitive dummy accounts and destinations. Do not use production customer PII or real payment credentials. Seed separate user/mitra/admin accounts for ownership and access tests.</t>
        </is>
      </c>
    </row>
    <row r="14" ht="22" customHeight="1">
      <c r="A14" t="inlineStr" s="4">
        <is>
          <t>Risk Strategy</t>
        </is>
      </c>
      <c r="B14" t="inlineStr" s="4">
        <is>
          <t>Prioritize business revenue and entry validation flows: auth, wisata catalog, checkout, payment, e-ticket, QR use-once, mitra ownership, admin voucher/content, and retired route blocking.</t>
        </is>
      </c>
    </row>
    <row r="15" ht="22" customHeight="1">
      <c r="A15" t="inlineStr" s="4">
        <is>
          <t>Defect Management</t>
        </is>
      </c>
      <c r="B15" t="inlineStr" s="4">
        <is>
          <t>Log defects in Bug Report sheet with severity/priority, evidence path, environment, reproduction steps, linked test case, and retest status.</t>
        </is>
      </c>
    </row>
    <row r="16" ht="22" customHeight="1">
      <c r="A16" t="inlineStr" s="4">
        <is>
          <t>Regression Strategy</t>
        </is>
      </c>
      <c r="B16" t="inlineStr" s="4">
        <is>
          <t>Run Smoke Test after every deploy, Regression Suite before release candidate, and targeted regression for files/modules changed in the build.</t>
        </is>
      </c>
    </row>
    <row r="17" ht="22" customHeight="1">
      <c r="A17" t="inlineStr" s="4">
        <is>
          <t>Smoke Testing Strategy</t>
        </is>
      </c>
      <c r="B17" t="inlineStr" s="4">
        <is>
          <t>Short deployment validation: home, catalog, detail, login, booking review, admin dashboard, admin wisata, mitra dashboard, mitra QR, discovery API, and retired route blocking.</t>
        </is>
      </c>
    </row>
  </sheetData>
  <autoFilter ref="A1:B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2" customWidth="1"/>
    <col min="3" max="3" width="28" customWidth="1"/>
    <col min="4" max="4" width="70" customWidth="1"/>
    <col min="5" max="5" width="22" customWidth="1"/>
    <col min="6" max="6" width="18" customWidth="1"/>
    <col min="7" max="7" width="12" customWidth="1"/>
    <col min="8" max="8" width="14" customWidth="1"/>
    <col min="9" max="9" width="22" customWidth="1"/>
    <col min="10" max="10" width="45" customWidth="1"/>
  </cols>
  <sheetData>
    <row r="1" ht="28" customHeight="1">
      <c r="A1" t="inlineStr" s="2">
        <is>
          <t>Scenario ID</t>
        </is>
      </c>
      <c r="B1" t="inlineStr" s="2">
        <is>
          <t>Module</t>
        </is>
      </c>
      <c r="C1" t="inlineStr" s="2">
        <is>
          <t>Feature</t>
        </is>
      </c>
      <c r="D1" t="inlineStr" s="2">
        <is>
          <t>Scenario</t>
        </is>
      </c>
      <c r="E1" t="inlineStr" s="2">
        <is>
          <t>Role</t>
        </is>
      </c>
      <c r="F1" t="inlineStr" s="2">
        <is>
          <t>Test Type</t>
        </is>
      </c>
      <c r="G1" t="inlineStr" s="2">
        <is>
          <t>Priority</t>
        </is>
      </c>
      <c r="H1" t="inlineStr" s="2">
        <is>
          <t>Risk Level</t>
        </is>
      </c>
      <c r="I1" t="inlineStr" s="2">
        <is>
          <t>Implementation Status</t>
        </is>
      </c>
      <c r="J1" t="inlineStr" s="2">
        <is>
          <t>Notes</t>
        </is>
      </c>
    </row>
    <row r="2" ht="22" customHeight="1">
      <c r="A2" t="inlineStr" s="4">
        <is>
          <t>TS-ADMIN-CONTENT-001</t>
        </is>
      </c>
      <c r="B2" t="inlineStr" s="4">
        <is>
          <t>Admin Public Content</t>
        </is>
      </c>
      <c r="C2" t="inlineStr" s="4">
        <is>
          <t>Homepage and Static Content Management</t>
        </is>
      </c>
      <c r="D2" t="inlineStr" s="4">
        <is>
          <t>Verify admin CRUD for public-facing content modules</t>
        </is>
      </c>
      <c r="E2" t="inlineStr" s="4">
        <is>
          <t>Admin</t>
        </is>
      </c>
      <c r="F2" t="inlineStr" s="4">
        <is>
          <t>Functional</t>
        </is>
      </c>
      <c r="G2" t="inlineStr" s="4">
        <is>
          <t>P1</t>
        </is>
      </c>
      <c r="H2" t="inlineStr" s="4">
        <is>
          <t>High</t>
        </is>
      </c>
      <c r="I2" t="inlineStr" s="4">
        <is>
          <t>Implemented</t>
        </is>
      </c>
      <c r="J2" s="4"/>
    </row>
    <row r="3" ht="22" customHeight="1">
      <c r="A3" t="inlineStr" s="4">
        <is>
          <t>TS-ADMIN-MITRA-001</t>
        </is>
      </c>
      <c r="B3" t="inlineStr" s="4">
        <is>
          <t>Admin Mitra Wisata</t>
        </is>
      </c>
      <c r="C3" t="inlineStr" s="4">
        <is>
          <t>Partner Management</t>
        </is>
      </c>
      <c r="D3" t="inlineStr" s="4">
        <is>
          <t>Verify admin management of wisata partners and documents</t>
        </is>
      </c>
      <c r="E3" t="inlineStr" s="4">
        <is>
          <t>Admin</t>
        </is>
      </c>
      <c r="F3" t="inlineStr" s="4">
        <is>
          <t>Access Control</t>
        </is>
      </c>
      <c r="G3" t="inlineStr" s="4">
        <is>
          <t>P1</t>
        </is>
      </c>
      <c r="H3" t="inlineStr" s="4">
        <is>
          <t>High</t>
        </is>
      </c>
      <c r="I3" t="inlineStr" s="4">
        <is>
          <t>Implemented</t>
        </is>
      </c>
      <c r="J3" s="4"/>
    </row>
    <row r="4" ht="22" customHeight="1">
      <c r="A4" t="inlineStr" s="4">
        <is>
          <t>TS-ADMIN-SYSTEM-001</t>
        </is>
      </c>
      <c r="B4" t="inlineStr" s="4">
        <is>
          <t>Admin System</t>
        </is>
      </c>
      <c r="C4" t="inlineStr" s="4">
        <is>
          <t>Users / Notifications / Settings / Reset</t>
        </is>
      </c>
      <c r="D4" t="inlineStr" s="4">
        <is>
          <t>Verify platform administration utilities</t>
        </is>
      </c>
      <c r="E4" t="inlineStr" s="4">
        <is>
          <t>Admin</t>
        </is>
      </c>
      <c r="F4" t="inlineStr" s="4">
        <is>
          <t>Functional</t>
        </is>
      </c>
      <c r="G4" t="inlineStr" s="4">
        <is>
          <t>P1</t>
        </is>
      </c>
      <c r="H4" t="inlineStr" s="4">
        <is>
          <t>High</t>
        </is>
      </c>
      <c r="I4" t="inlineStr" s="4">
        <is>
          <t>Implemented</t>
        </is>
      </c>
      <c r="J4" s="4"/>
    </row>
    <row r="5" ht="22" customHeight="1">
      <c r="A5" t="inlineStr" s="4">
        <is>
          <t>TS-ADMIN-WISATA-001</t>
        </is>
      </c>
      <c r="B5" t="inlineStr" s="4">
        <is>
          <t>Admin Wisata</t>
        </is>
      </c>
      <c r="C5" t="inlineStr" s="4">
        <is>
          <t>Destination / Ticket / Booking / Finance</t>
        </is>
      </c>
      <c r="D5" t="inlineStr" s="4">
        <is>
          <t>Verify admin operational wisata modules</t>
        </is>
      </c>
      <c r="E5" t="inlineStr" s="4">
        <is>
          <t>Admin</t>
        </is>
      </c>
      <c r="F5" t="inlineStr" s="4">
        <is>
          <t>Functional</t>
        </is>
      </c>
      <c r="G5" t="inlineStr" s="4">
        <is>
          <t>P0</t>
        </is>
      </c>
      <c r="H5" t="inlineStr" s="4">
        <is>
          <t>Critical</t>
        </is>
      </c>
      <c r="I5" t="inlineStr" s="4">
        <is>
          <t>Implemented</t>
        </is>
      </c>
      <c r="J5" s="4"/>
    </row>
    <row r="6" ht="22" customHeight="1">
      <c r="A6" t="inlineStr" s="4">
        <is>
          <t>TS-API-001</t>
        </is>
      </c>
      <c r="B6" t="inlineStr" s="4">
        <is>
          <t>Mobile API</t>
        </is>
      </c>
      <c r="C6" t="inlineStr" s="4">
        <is>
          <t>Auth / Discovery / Booking / Profile</t>
        </is>
      </c>
      <c r="D6" t="inlineStr" s="4">
        <is>
          <t>Verify Sanctum mobile API contract and protections</t>
        </is>
      </c>
      <c r="E6" t="inlineStr" s="4">
        <is>
          <t>Mobile User</t>
        </is>
      </c>
      <c r="F6" t="inlineStr" s="4">
        <is>
          <t>Integration</t>
        </is>
      </c>
      <c r="G6" t="inlineStr" s="4">
        <is>
          <t>P0</t>
        </is>
      </c>
      <c r="H6" t="inlineStr" s="4">
        <is>
          <t>Critical</t>
        </is>
      </c>
      <c r="I6" t="inlineStr" s="4">
        <is>
          <t>Implemented</t>
        </is>
      </c>
      <c r="J6" s="4"/>
    </row>
    <row r="7" ht="22" customHeight="1">
      <c r="A7" t="inlineStr" s="4">
        <is>
          <t>TS-AUTH-001</t>
        </is>
      </c>
      <c r="B7" t="inlineStr" s="4">
        <is>
          <t>Authentication</t>
        </is>
      </c>
      <c r="C7" t="inlineStr" s="4">
        <is>
          <t>Web Login</t>
        </is>
      </c>
      <c r="D7" t="inlineStr" s="4">
        <is>
          <t>Verify valid and invalid web login behavior including role redirect and rate limiting</t>
        </is>
      </c>
      <c r="E7" t="inlineStr" s="4">
        <is>
          <t>Guest/User/Admin/Mitra</t>
        </is>
      </c>
      <c r="F7" t="inlineStr" s="4">
        <is>
          <t>Authentication</t>
        </is>
      </c>
      <c r="G7" t="inlineStr" s="4">
        <is>
          <t>P0</t>
        </is>
      </c>
      <c r="H7" t="inlineStr" s="4">
        <is>
          <t>Critical</t>
        </is>
      </c>
      <c r="I7" t="inlineStr" s="4">
        <is>
          <t>Implemented</t>
        </is>
      </c>
      <c r="J7" s="4"/>
    </row>
    <row r="8" ht="22" customHeight="1">
      <c r="A8" t="inlineStr" s="4">
        <is>
          <t>TS-AUTH-002</t>
        </is>
      </c>
      <c r="B8" t="inlineStr" s="4">
        <is>
          <t>Authentication</t>
        </is>
      </c>
      <c r="C8" t="inlineStr" s="4">
        <is>
          <t>Registration</t>
        </is>
      </c>
      <c r="D8" t="inlineStr" s="4">
        <is>
          <t>Verify user registration requires profile identity, phone/WhatsApp, password, and legal acceptance</t>
        </is>
      </c>
      <c r="E8" t="inlineStr" s="4">
        <is>
          <t>Guest</t>
        </is>
      </c>
      <c r="F8" t="inlineStr" s="4">
        <is>
          <t>Validation</t>
        </is>
      </c>
      <c r="G8" t="inlineStr" s="4">
        <is>
          <t>P0</t>
        </is>
      </c>
      <c r="H8" t="inlineStr" s="4">
        <is>
          <t>Critical</t>
        </is>
      </c>
      <c r="I8" t="inlineStr" s="4">
        <is>
          <t>Implemented</t>
        </is>
      </c>
      <c r="J8" s="4"/>
    </row>
    <row r="9" ht="22" customHeight="1">
      <c r="A9" t="inlineStr" s="4">
        <is>
          <t>TS-AUTH-003</t>
        </is>
      </c>
      <c r="B9" t="inlineStr" s="4">
        <is>
          <t>Authentication</t>
        </is>
      </c>
      <c r="C9" t="inlineStr" s="4">
        <is>
          <t>Password Reset / Email Verification / 2FA</t>
        </is>
      </c>
      <c r="D9" t="inlineStr" s="4">
        <is>
          <t>Verify account recovery and verification flows are usable and protected</t>
        </is>
      </c>
      <c r="E9" t="inlineStr" s="4">
        <is>
          <t>Guest/User</t>
        </is>
      </c>
      <c r="F9" t="inlineStr" s="4">
        <is>
          <t>Authentication</t>
        </is>
      </c>
      <c r="G9" t="inlineStr" s="4">
        <is>
          <t>P1</t>
        </is>
      </c>
      <c r="H9" t="inlineStr" s="4">
        <is>
          <t>High</t>
        </is>
      </c>
      <c r="I9" t="inlineStr" s="4">
        <is>
          <t>Implemented</t>
        </is>
      </c>
      <c r="J9" s="4"/>
    </row>
    <row r="10" ht="22" customHeight="1">
      <c r="A10" t="inlineStr" s="4">
        <is>
          <t>TS-CATALOG-001</t>
        </is>
      </c>
      <c r="B10" t="inlineStr" s="4">
        <is>
          <t>Wisata Catalog</t>
        </is>
      </c>
      <c r="C10" t="inlineStr" s="4">
        <is>
          <t>Search and Listing</t>
        </is>
      </c>
      <c r="D10" t="inlineStr" s="4">
        <is>
          <t>Verify wisata listing, search, filter, empty state, and detail navigation</t>
        </is>
      </c>
      <c r="E10" t="inlineStr" s="4">
        <is>
          <t>Guest/User</t>
        </is>
      </c>
      <c r="F10" t="inlineStr" s="4">
        <is>
          <t>Functional</t>
        </is>
      </c>
      <c r="G10" t="inlineStr" s="4">
        <is>
          <t>P0</t>
        </is>
      </c>
      <c r="H10" t="inlineStr" s="4">
        <is>
          <t>High</t>
        </is>
      </c>
      <c r="I10" t="inlineStr" s="4">
        <is>
          <t>Implemented</t>
        </is>
      </c>
      <c r="J10" s="4"/>
    </row>
    <row r="11" ht="22" customHeight="1">
      <c r="A11" t="inlineStr" s="4">
        <is>
          <t>TS-HOME-001</t>
        </is>
      </c>
      <c r="B11" t="inlineStr" s="4">
        <is>
          <t>Public Home</t>
        </is>
      </c>
      <c r="C11" t="inlineStr" s="4">
        <is>
          <t>Homepage Rendering</t>
        </is>
      </c>
      <c r="D11" t="inlineStr" s="4">
        <is>
          <t>Verify homepage renders dynamic tourism-first content without retired product copy</t>
        </is>
      </c>
      <c r="E11" t="inlineStr" s="4">
        <is>
          <t>Guest/User</t>
        </is>
      </c>
      <c r="F11" t="inlineStr" s="4">
        <is>
          <t>UI</t>
        </is>
      </c>
      <c r="G11" t="inlineStr" s="4">
        <is>
          <t>P0</t>
        </is>
      </c>
      <c r="H11" t="inlineStr" s="4">
        <is>
          <t>High</t>
        </is>
      </c>
      <c r="I11" t="inlineStr" s="4">
        <is>
          <t>Implemented</t>
        </is>
      </c>
      <c r="J11" s="4"/>
    </row>
    <row r="12" ht="22" customHeight="1">
      <c r="A12" t="inlineStr" s="4">
        <is>
          <t>TS-MITRA-001</t>
        </is>
      </c>
      <c r="B12" t="inlineStr" s="4">
        <is>
          <t>Mitra Wisata</t>
        </is>
      </c>
      <c r="C12" t="inlineStr" s="4">
        <is>
          <t>Owned Destination and Operations</t>
        </is>
      </c>
      <c r="D12" t="inlineStr" s="4">
        <is>
          <t>Verify mitra can operate only owned wisata resources</t>
        </is>
      </c>
      <c r="E12" t="inlineStr" s="4">
        <is>
          <t>Mitra</t>
        </is>
      </c>
      <c r="F12" t="inlineStr" s="4">
        <is>
          <t>Access Control</t>
        </is>
      </c>
      <c r="G12" t="inlineStr" s="4">
        <is>
          <t>P0</t>
        </is>
      </c>
      <c r="H12" t="inlineStr" s="4">
        <is>
          <t>Critical</t>
        </is>
      </c>
      <c r="I12" t="inlineStr" s="4">
        <is>
          <t>Implemented</t>
        </is>
      </c>
      <c r="J12" s="4"/>
    </row>
    <row r="13" ht="22" customHeight="1">
      <c r="A13" t="inlineStr" s="4">
        <is>
          <t>TS-RETIRE-001</t>
        </is>
      </c>
      <c r="B13" t="inlineStr" s="4">
        <is>
          <t>Retired/Partial Modules</t>
        </is>
      </c>
      <c r="C13" t="inlineStr" s="4">
        <is>
          <t>Legacy Product Surface</t>
        </is>
      </c>
      <c r="D13" t="inlineStr" s="4">
        <is>
          <t>Verify retired legacy product modules remain blocked or marked partial</t>
        </is>
      </c>
      <c r="E13" t="inlineStr" s="4">
        <is>
          <t>Admin/Guest/Mitra</t>
        </is>
      </c>
      <c r="F13" t="inlineStr" s="4">
        <is>
          <t>Regression</t>
        </is>
      </c>
      <c r="G13" t="inlineStr" s="4">
        <is>
          <t>P2</t>
        </is>
      </c>
      <c r="H13" t="inlineStr" s="4">
        <is>
          <t>Medium</t>
        </is>
      </c>
      <c r="I13" t="inlineStr" s="4">
        <is>
          <t>Partial</t>
        </is>
      </c>
      <c r="J13" t="inlineStr" s="4">
        <is>
          <t>Models/pages for hotel/event/academy/retail still exist, but middleware blocks active product surface.</t>
        </is>
      </c>
    </row>
    <row r="14" ht="22" customHeight="1">
      <c r="A14" t="inlineStr" s="4">
        <is>
          <t>TS-SEC-001</t>
        </is>
      </c>
      <c r="B14" t="inlineStr" s="4">
        <is>
          <t>Security</t>
        </is>
      </c>
      <c r="C14" t="inlineStr" s="4">
        <is>
          <t>Access Control and Input Abuse</t>
        </is>
      </c>
      <c r="D14" t="inlineStr" s="4">
        <is>
          <t>Verify defensive controls for common attack surface</t>
        </is>
      </c>
      <c r="E14" t="inlineStr" s="4">
        <is>
          <t>All Roles</t>
        </is>
      </c>
      <c r="F14" t="inlineStr" s="4">
        <is>
          <t>Security</t>
        </is>
      </c>
      <c r="G14" t="inlineStr" s="4">
        <is>
          <t>P0</t>
        </is>
      </c>
      <c r="H14" t="inlineStr" s="4">
        <is>
          <t>Critical</t>
        </is>
      </c>
      <c r="I14" t="inlineStr" s="4">
        <is>
          <t>Implemented</t>
        </is>
      </c>
      <c r="J14" s="4"/>
    </row>
    <row r="15" ht="22" customHeight="1">
      <c r="A15" t="inlineStr" s="4">
        <is>
          <t>TS-USER-001</t>
        </is>
      </c>
      <c r="B15" t="inlineStr" s="4">
        <is>
          <t>User Account</t>
        </is>
      </c>
      <c r="C15" t="inlineStr" s="4">
        <is>
          <t>Profile / Notifications / Reviews / Chat</t>
        </is>
      </c>
      <c r="D15" t="inlineStr" s="4">
        <is>
          <t>Verify authenticated user account features</t>
        </is>
      </c>
      <c r="E15" t="inlineStr" s="4">
        <is>
          <t>User</t>
        </is>
      </c>
      <c r="F15" t="inlineStr" s="4">
        <is>
          <t>Functional</t>
        </is>
      </c>
      <c r="G15" t="inlineStr" s="4">
        <is>
          <t>P1</t>
        </is>
      </c>
      <c r="H15" t="inlineStr" s="4">
        <is>
          <t>Medium</t>
        </is>
      </c>
      <c r="I15" t="inlineStr" s="4">
        <is>
          <t>Implemented</t>
        </is>
      </c>
      <c r="J15" s="4"/>
    </row>
    <row r="16" ht="22" customHeight="1">
      <c r="A16" t="inlineStr" s="4">
        <is>
          <t>TS-WISATA-BOOKING-001</t>
        </is>
      </c>
      <c r="B16" t="inlineStr" s="4">
        <is>
          <t>Wisata Booking</t>
        </is>
      </c>
      <c r="C16" t="inlineStr" s="4">
        <is>
          <t>Booking and Payment</t>
        </is>
      </c>
      <c r="D16" t="inlineStr" s="4">
        <is>
          <t>Verify wisata booking draft, checkout, voucher, payment, ticket delivery, and history</t>
        </is>
      </c>
      <c r="E16" t="inlineStr" s="4">
        <is>
          <t>User</t>
        </is>
      </c>
      <c r="F16" t="inlineStr" s="4">
        <is>
          <t>Functional</t>
        </is>
      </c>
      <c r="G16" t="inlineStr" s="4">
        <is>
          <t>P0</t>
        </is>
      </c>
      <c r="H16" t="inlineStr" s="4">
        <is>
          <t>Critical</t>
        </is>
      </c>
      <c r="I16" t="inlineStr" s="4">
        <is>
          <t>Implemented</t>
        </is>
      </c>
      <c r="J16" s="4"/>
    </row>
    <row r="17" ht="22" customHeight="1">
      <c r="A17" t="inlineStr" s="4">
        <is>
          <t>TS-WISATA-DETAIL-001</t>
        </is>
      </c>
      <c r="B17" t="inlineStr" s="4">
        <is>
          <t>Wisata Detail</t>
        </is>
      </c>
      <c r="C17" t="inlineStr" s="4">
        <is>
          <t>Destination Detail</t>
        </is>
      </c>
      <c r="D17" t="inlineStr" s="4">
        <is>
          <t>Verify public destination detail displays correct tourism data and ticket selection</t>
        </is>
      </c>
      <c r="E17" t="inlineStr" s="4">
        <is>
          <t>Guest/User</t>
        </is>
      </c>
      <c r="F17" t="inlineStr" s="4">
        <is>
          <t>Functional</t>
        </is>
      </c>
      <c r="G17" t="inlineStr" s="4">
        <is>
          <t>P0</t>
        </is>
      </c>
      <c r="H17" t="inlineStr" s="4">
        <is>
          <t>High</t>
        </is>
      </c>
      <c r="I17" t="inlineStr" s="4">
        <is>
          <t>Implemented</t>
        </is>
      </c>
      <c r="J17" s="4"/>
    </row>
    <row r="18" ht="22" customHeight="1">
      <c r="A18" t="inlineStr" s="4">
        <is>
          <t>TS-WISATA-SCAN-001</t>
        </is>
      </c>
      <c r="B18" t="inlineStr" s="4">
        <is>
          <t>Wisata Scan</t>
        </is>
      </c>
      <c r="C18" t="inlineStr" s="4">
        <is>
          <t>Ticket Usage Scan</t>
        </is>
      </c>
      <c r="D18" t="inlineStr" s="4">
        <is>
          <t>Verify user scans mitra QR and ticket can only be consumed once</t>
        </is>
      </c>
      <c r="E18" t="inlineStr" s="4">
        <is>
          <t>User/Mitra</t>
        </is>
      </c>
      <c r="F18" t="inlineStr" s="4">
        <is>
          <t>Access Control</t>
        </is>
      </c>
      <c r="G18" t="inlineStr" s="4">
        <is>
          <t>P0</t>
        </is>
      </c>
      <c r="H18" t="inlineStr" s="4">
        <is>
          <t>Critical</t>
        </is>
      </c>
      <c r="I18" t="inlineStr" s="4">
        <is>
          <t>Implemented</t>
        </is>
      </c>
      <c r="J18" s="4"/>
    </row>
  </sheetData>
  <autoFilter ref="A1:J18"/>
  <conditionalFormatting sqref="G2:G1000">
    <cfRule type="containsText" priority="6" operator="containsText" text="P0" dxfId="5">
      <formula>NOT(ISERROR(SEARCH("P0",G2)))</formula>
    </cfRule>
    <cfRule type="containsText" priority="7" operator="containsText" text="P1" dxfId="6">
      <formula>NOT(ISERROR(SEARCH("P1",G2)))</formula>
    </cfRule>
    <cfRule type="containsText" priority="8" operator="containsText" text="P2" dxfId="7">
      <formula>NOT(ISERROR(SEARCH("P2",G2)))</formula>
    </cfRule>
    <cfRule type="containsText" priority="9" operator="containsText" text="P3" dxfId="8">
      <formula>NOT(ISERROR(SEARCH("P3",G2)))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8" customWidth="1"/>
    <col min="3" max="3" width="22" customWidth="1"/>
    <col min="4" max="4" width="26" customWidth="1"/>
    <col min="5" max="5" width="42" customWidth="1"/>
    <col min="6" max="6" width="18" customWidth="1"/>
    <col min="7" max="7" width="48" customWidth="1"/>
    <col min="8" max="8" width="42" customWidth="1"/>
    <col min="9" max="9" width="58" customWidth="1"/>
    <col min="10" max="10" width="62" customWidth="1"/>
    <col min="11" max="11" width="34" customWidth="1"/>
    <col min="12" max="12" width="14" customWidth="1"/>
    <col min="13" max="13" width="12" customWidth="1"/>
    <col min="14" max="14" width="14" customWidth="1"/>
    <col min="15" max="15" width="18" customWidth="1"/>
    <col min="16" max="16" width="20" customWidth="1"/>
    <col min="17" max="17" width="26" customWidth="1"/>
    <col min="18" max="18" width="34" customWidth="1"/>
    <col min="19" max="19" width="18" customWidth="1"/>
    <col min="20" max="20" width="12" customWidth="1"/>
    <col min="21" max="21" width="20" customWidth="1"/>
    <col min="22" max="22" width="18" customWidth="1"/>
    <col min="23" max="23" width="16" customWidth="1"/>
    <col min="24" max="24" width="14" customWidth="1"/>
    <col min="25" max="25" width="34" customWidth="1"/>
  </cols>
  <sheetData>
    <row r="1" ht="28" customHeight="1">
      <c r="A1" t="inlineStr" s="2">
        <is>
          <t>Test Case ID</t>
        </is>
      </c>
      <c r="B1" t="inlineStr" s="2">
        <is>
          <t>Scenario ID</t>
        </is>
      </c>
      <c r="C1" t="inlineStr" s="2">
        <is>
          <t>Module</t>
        </is>
      </c>
      <c r="D1" t="inlineStr" s="2">
        <is>
          <t>Feature</t>
        </is>
      </c>
      <c r="E1" t="inlineStr" s="2">
        <is>
          <t>Test Case Title</t>
        </is>
      </c>
      <c r="F1" t="inlineStr" s="2">
        <is>
          <t>Role</t>
        </is>
      </c>
      <c r="G1" t="inlineStr" s="2">
        <is>
          <t>Preconditions</t>
        </is>
      </c>
      <c r="H1" t="inlineStr" s="2">
        <is>
          <t>Test Data</t>
        </is>
      </c>
      <c r="I1" t="inlineStr" s="2">
        <is>
          <t>Test Steps</t>
        </is>
      </c>
      <c r="J1" t="inlineStr" s="2">
        <is>
          <t>Expected Result</t>
        </is>
      </c>
      <c r="K1" t="inlineStr" s="2">
        <is>
          <t>Actual Result</t>
        </is>
      </c>
      <c r="L1" t="inlineStr" s="2">
        <is>
          <t>Status</t>
        </is>
      </c>
      <c r="M1" t="inlineStr" s="2">
        <is>
          <t>Priority</t>
        </is>
      </c>
      <c r="N1" t="inlineStr" s="2">
        <is>
          <t>Severity</t>
        </is>
      </c>
      <c r="O1" t="inlineStr" s="2">
        <is>
          <t>Test Type</t>
        </is>
      </c>
      <c r="P1" t="inlineStr" s="2">
        <is>
          <t>Environment</t>
        </is>
      </c>
      <c r="Q1" t="inlineStr" s="2">
        <is>
          <t>Browser / Device</t>
        </is>
      </c>
      <c r="R1" t="inlineStr" s="2">
        <is>
          <t>Requirement / Route</t>
        </is>
      </c>
      <c r="S1" t="inlineStr" s="2">
        <is>
          <t>Automation Candidate</t>
        </is>
      </c>
      <c r="T1" t="inlineStr" s="2">
        <is>
          <t>Regression</t>
        </is>
      </c>
      <c r="U1" t="inlineStr" s="2">
        <is>
          <t>Created By</t>
        </is>
      </c>
      <c r="V1" t="inlineStr" s="2">
        <is>
          <t>Executed By</t>
        </is>
      </c>
      <c r="W1" t="inlineStr" s="2">
        <is>
          <t>Execution Date</t>
        </is>
      </c>
      <c r="X1" t="inlineStr" s="2">
        <is>
          <t>Bug ID</t>
        </is>
      </c>
      <c r="Y1" t="inlineStr" s="2">
        <is>
          <t>Notes</t>
        </is>
      </c>
    </row>
    <row r="2" ht="54" customHeight="1">
      <c r="A2" t="inlineStr" s="4">
        <is>
          <t>TC-AUTH-001</t>
        </is>
      </c>
      <c r="B2" t="inlineStr" s="4">
        <is>
          <t>TS-AUTH-001</t>
        </is>
      </c>
      <c r="C2" t="inlineStr" s="4">
        <is>
          <t>Authentication</t>
        </is>
      </c>
      <c r="D2" t="inlineStr" s="4">
        <is>
          <t>Web Login</t>
        </is>
      </c>
      <c r="E2" t="inlineStr" s="4">
        <is>
          <t>Login with valid user credentials</t>
        </is>
      </c>
      <c r="F2" t="inlineStr" s="4">
        <is>
          <t>Guest</t>
        </is>
      </c>
      <c r="G2" t="inlineStr" s="4">
        <is>
          <t>Login page is reachable.</t>
        </is>
      </c>
      <c r="H2" t="inlineStr" s="4">
        <is>
          <t>Registered user email and valid password</t>
        </is>
      </c>
      <c r="I2" t="inlineStr" s="4">
        <is>
          <t>1. Open /login.
2. Enter the test data.
3. Submit the login form.
4. Observe validation, redirect, and session state.</t>
        </is>
      </c>
      <c r="J2" t="inlineStr" s="4">
        <is>
          <t>User is authenticated and redirected to the correct user-facing page.</t>
        </is>
      </c>
      <c r="K2" s="4"/>
      <c r="L2" t="inlineStr" s="4">
        <is>
          <t>Not Run</t>
        </is>
      </c>
      <c r="M2" t="inlineStr" s="4">
        <is>
          <t>P0</t>
        </is>
      </c>
      <c r="N2" t="inlineStr" s="4">
        <is>
          <t>Critical</t>
        </is>
      </c>
      <c r="O2" t="inlineStr" s="4">
        <is>
          <t>Authentication</t>
        </is>
      </c>
      <c r="P2" t="inlineStr" s="4">
        <is>
          <t>Staging / QA</t>
        </is>
      </c>
      <c r="Q2" t="inlineStr" s="4">
        <is>
          <t>Chrome desktop + Android Chrome unless specified</t>
        </is>
      </c>
      <c r="R2" t="inlineStr" s="4">
        <is>
          <t>/login</t>
        </is>
      </c>
      <c r="S2" t="inlineStr" s="4">
        <is>
          <t>Maybe</t>
        </is>
      </c>
      <c r="T2" t="inlineStr" s="4">
        <is>
          <t>Yes</t>
        </is>
      </c>
      <c r="U2" t="inlineStr" s="4">
        <is>
          <t>Codex QA Generator</t>
        </is>
      </c>
      <c r="V2" s="4"/>
      <c r="W2" s="4"/>
      <c r="X2" s="4"/>
      <c r="Y2" s="4"/>
    </row>
    <row r="3" ht="54" customHeight="1">
      <c r="A3" t="inlineStr" s="4">
        <is>
          <t>TC-AUTH-002</t>
        </is>
      </c>
      <c r="B3" t="inlineStr" s="4">
        <is>
          <t>TS-AUTH-001</t>
        </is>
      </c>
      <c r="C3" t="inlineStr" s="4">
        <is>
          <t>Authentication</t>
        </is>
      </c>
      <c r="D3" t="inlineStr" s="4">
        <is>
          <t>Web Login</t>
        </is>
      </c>
      <c r="E3" t="inlineStr" s="4">
        <is>
          <t>Login rejects invalid password</t>
        </is>
      </c>
      <c r="F3" t="inlineStr" s="4">
        <is>
          <t>Guest</t>
        </is>
      </c>
      <c r="G3" t="inlineStr" s="4">
        <is>
          <t>Login page is reachable.</t>
        </is>
      </c>
      <c r="H3" t="inlineStr" s="4">
        <is>
          <t>Registered email with wrong password</t>
        </is>
      </c>
      <c r="I3" t="inlineStr" s="4">
        <is>
          <t>1. Open /login.
2. Enter the test data.
3. Submit the login form.
4. Observe validation, redirect, and session state.</t>
        </is>
      </c>
      <c r="J3" t="inlineStr" s="4">
        <is>
          <t>Login fails, validation message is shown, and session is not authenticated.</t>
        </is>
      </c>
      <c r="K3" s="4"/>
      <c r="L3" t="inlineStr" s="4">
        <is>
          <t>Not Run</t>
        </is>
      </c>
      <c r="M3" t="inlineStr" s="4">
        <is>
          <t>P0</t>
        </is>
      </c>
      <c r="N3" t="inlineStr" s="4">
        <is>
          <t>High</t>
        </is>
      </c>
      <c r="O3" t="inlineStr" s="4">
        <is>
          <t>Negative</t>
        </is>
      </c>
      <c r="P3" t="inlineStr" s="4">
        <is>
          <t>Staging / QA</t>
        </is>
      </c>
      <c r="Q3" t="inlineStr" s="4">
        <is>
          <t>Chrome desktop + Android Chrome unless specified</t>
        </is>
      </c>
      <c r="R3" t="inlineStr" s="4">
        <is>
          <t>/login</t>
        </is>
      </c>
      <c r="S3" t="inlineStr" s="4">
        <is>
          <t>Maybe</t>
        </is>
      </c>
      <c r="T3" t="inlineStr" s="4">
        <is>
          <t>Yes</t>
        </is>
      </c>
      <c r="U3" t="inlineStr" s="4">
        <is>
          <t>Codex QA Generator</t>
        </is>
      </c>
      <c r="V3" s="4"/>
      <c r="W3" s="4"/>
      <c r="X3" s="4"/>
      <c r="Y3" s="4"/>
    </row>
    <row r="4" ht="54" customHeight="1">
      <c r="A4" t="inlineStr" s="4">
        <is>
          <t>TC-AUTH-003</t>
        </is>
      </c>
      <c r="B4" t="inlineStr" s="4">
        <is>
          <t>TS-AUTH-001</t>
        </is>
      </c>
      <c r="C4" t="inlineStr" s="4">
        <is>
          <t>Authentication</t>
        </is>
      </c>
      <c r="D4" t="inlineStr" s="4">
        <is>
          <t>Web Login</t>
        </is>
      </c>
      <c r="E4" t="inlineStr" s="4">
        <is>
          <t>Login rejects empty credentials</t>
        </is>
      </c>
      <c r="F4" t="inlineStr" s="4">
        <is>
          <t>Guest</t>
        </is>
      </c>
      <c r="G4" t="inlineStr" s="4">
        <is>
          <t>Login page is reachable.</t>
        </is>
      </c>
      <c r="H4" t="inlineStr" s="4">
        <is>
          <t>Blank email and password</t>
        </is>
      </c>
      <c r="I4" t="inlineStr" s="4">
        <is>
          <t>1. Open /login.
2. Enter the test data.
3. Submit the login form.
4. Observe validation, redirect, and session state.</t>
        </is>
      </c>
      <c r="J4" t="inlineStr" s="4">
        <is>
          <t>Required field errors appear without creating an authenticated session.</t>
        </is>
      </c>
      <c r="K4" s="4"/>
      <c r="L4" t="inlineStr" s="4">
        <is>
          <t>Not Run</t>
        </is>
      </c>
      <c r="M4" t="inlineStr" s="4">
        <is>
          <t>P1</t>
        </is>
      </c>
      <c r="N4" t="inlineStr" s="4">
        <is>
          <t>High</t>
        </is>
      </c>
      <c r="O4" t="inlineStr" s="4">
        <is>
          <t>Validation</t>
        </is>
      </c>
      <c r="P4" t="inlineStr" s="4">
        <is>
          <t>Staging / QA</t>
        </is>
      </c>
      <c r="Q4" t="inlineStr" s="4">
        <is>
          <t>Chrome desktop + Android Chrome unless specified</t>
        </is>
      </c>
      <c r="R4" t="inlineStr" s="4">
        <is>
          <t>/login</t>
        </is>
      </c>
      <c r="S4" t="inlineStr" s="4">
        <is>
          <t>Maybe</t>
        </is>
      </c>
      <c r="T4" t="inlineStr" s="4">
        <is>
          <t>Yes</t>
        </is>
      </c>
      <c r="U4" t="inlineStr" s="4">
        <is>
          <t>Codex QA Generator</t>
        </is>
      </c>
      <c r="V4" s="4"/>
      <c r="W4" s="4"/>
      <c r="X4" s="4"/>
      <c r="Y4" s="4"/>
    </row>
    <row r="5" ht="54" customHeight="1">
      <c r="A5" t="inlineStr" s="4">
        <is>
          <t>TC-AUTH-004</t>
        </is>
      </c>
      <c r="B5" t="inlineStr" s="4">
        <is>
          <t>TS-AUTH-001</t>
        </is>
      </c>
      <c r="C5" t="inlineStr" s="4">
        <is>
          <t>Authentication</t>
        </is>
      </c>
      <c r="D5" t="inlineStr" s="4">
        <is>
          <t>Web Login</t>
        </is>
      </c>
      <c r="E5" t="inlineStr" s="4">
        <is>
          <t>Login rate limit is enforced</t>
        </is>
      </c>
      <c r="F5" t="inlineStr" s="4">
        <is>
          <t>Guest</t>
        </is>
      </c>
      <c r="G5" t="inlineStr" s="4">
        <is>
          <t>Login page is reachable.</t>
        </is>
      </c>
      <c r="H5" t="inlineStr" s="4">
        <is>
          <t>Repeated invalid attempts on same email/IP</t>
        </is>
      </c>
      <c r="I5" t="inlineStr" s="4">
        <is>
          <t>1. Open /login.
2. Enter the test data.
3. Submit the login form.
4. Observe validation, redirect, and session state.</t>
        </is>
      </c>
      <c r="J5" t="inlineStr" s="4">
        <is>
          <t>Application throttles repeated attempts and shows a friendly rate-limit message.</t>
        </is>
      </c>
      <c r="K5" s="4"/>
      <c r="L5" t="inlineStr" s="4">
        <is>
          <t>Not Run</t>
        </is>
      </c>
      <c r="M5" t="inlineStr" s="4">
        <is>
          <t>P1</t>
        </is>
      </c>
      <c r="N5" t="inlineStr" s="4">
        <is>
          <t>High</t>
        </is>
      </c>
      <c r="O5" t="inlineStr" s="4">
        <is>
          <t>Security</t>
        </is>
      </c>
      <c r="P5" t="inlineStr" s="4">
        <is>
          <t>Staging / QA</t>
        </is>
      </c>
      <c r="Q5" t="inlineStr" s="4">
        <is>
          <t>Chrome desktop + Android Chrome unless specified</t>
        </is>
      </c>
      <c r="R5" t="inlineStr" s="4">
        <is>
          <t>/login</t>
        </is>
      </c>
      <c r="S5" t="inlineStr" s="4">
        <is>
          <t>Maybe</t>
        </is>
      </c>
      <c r="T5" t="inlineStr" s="4">
        <is>
          <t>Yes</t>
        </is>
      </c>
      <c r="U5" t="inlineStr" s="4">
        <is>
          <t>Codex QA Generator</t>
        </is>
      </c>
      <c r="V5" s="4"/>
      <c r="W5" s="4"/>
      <c r="X5" s="4"/>
      <c r="Y5" s="4"/>
    </row>
    <row r="6" ht="54" customHeight="1">
      <c r="A6" t="inlineStr" s="4">
        <is>
          <t>TC-AUTH-005</t>
        </is>
      </c>
      <c r="B6" t="inlineStr" s="4">
        <is>
          <t>TS-AUTH-001</t>
        </is>
      </c>
      <c r="C6" t="inlineStr" s="4">
        <is>
          <t>Authentication</t>
        </is>
      </c>
      <c r="D6" t="inlineStr" s="4">
        <is>
          <t>Web Login</t>
        </is>
      </c>
      <c r="E6" t="inlineStr" s="4">
        <is>
          <t>Password visibility toggle works</t>
        </is>
      </c>
      <c r="F6" t="inlineStr" s="4">
        <is>
          <t>Guest</t>
        </is>
      </c>
      <c r="G6" t="inlineStr" s="4">
        <is>
          <t>Login page is reachable.</t>
        </is>
      </c>
      <c r="H6" t="inlineStr" s="4">
        <is>
          <t>Any password value</t>
        </is>
      </c>
      <c r="I6" t="inlineStr" s="4">
        <is>
          <t>1. Open /login.
2. Enter the test data.
3. Submit the login form.
4. Observe validation, redirect, and session state.</t>
        </is>
      </c>
      <c r="J6" t="inlineStr" s="4">
        <is>
          <t>Password field toggles between masked and visible without changing the value.</t>
        </is>
      </c>
      <c r="K6" s="4"/>
      <c r="L6" t="inlineStr" s="4">
        <is>
          <t>Not Run</t>
        </is>
      </c>
      <c r="M6" t="inlineStr" s="4">
        <is>
          <t>P2</t>
        </is>
      </c>
      <c r="N6" t="inlineStr" s="4">
        <is>
          <t>Low</t>
        </is>
      </c>
      <c r="O6" t="inlineStr" s="4">
        <is>
          <t>UI</t>
        </is>
      </c>
      <c r="P6" t="inlineStr" s="4">
        <is>
          <t>Staging / QA</t>
        </is>
      </c>
      <c r="Q6" t="inlineStr" s="4">
        <is>
          <t>Chrome desktop + Android Chrome unless specified</t>
        </is>
      </c>
      <c r="R6" t="inlineStr" s="4">
        <is>
          <t>/login</t>
        </is>
      </c>
      <c r="S6" t="inlineStr" s="4">
        <is>
          <t>Maybe</t>
        </is>
      </c>
      <c r="T6" t="inlineStr" s="4">
        <is>
          <t>Yes</t>
        </is>
      </c>
      <c r="U6" t="inlineStr" s="4">
        <is>
          <t>Codex QA Generator</t>
        </is>
      </c>
      <c r="V6" s="4"/>
      <c r="W6" s="4"/>
      <c r="X6" s="4"/>
      <c r="Y6" s="4"/>
    </row>
    <row r="7" ht="54" customHeight="1">
      <c r="A7" t="inlineStr" s="4">
        <is>
          <t>TC-AUTH-006</t>
        </is>
      </c>
      <c r="B7" t="inlineStr" s="4">
        <is>
          <t>TS-AUTH-002</t>
        </is>
      </c>
      <c r="C7" t="inlineStr" s="4">
        <is>
          <t>Authentication</t>
        </is>
      </c>
      <c r="D7" t="inlineStr" s="4">
        <is>
          <t>Registration</t>
        </is>
      </c>
      <c r="E7" t="inlineStr" s="4">
        <is>
          <t>Register with valid required fields</t>
        </is>
      </c>
      <c r="F7" t="inlineStr" s="4">
        <is>
          <t>Guest</t>
        </is>
      </c>
      <c r="G7" t="inlineStr" s="4">
        <is>
          <t>Register page is reachable.</t>
        </is>
      </c>
      <c r="H7" t="inlineStr" s="4">
        <is>
          <t>Name, email, phone/WhatsApp, password confirmation, legal checklist checked</t>
        </is>
      </c>
      <c r="I7" t="inlineStr" s="4">
        <is>
          <t>1. Open /register.
2. Fill fields according to test data.
3. Submit registration.
4. Observe validation or success flow.</t>
        </is>
      </c>
      <c r="J7" t="inlineStr" s="4">
        <is>
          <t>Account is created, verification flow is started, and no password is exposed.</t>
        </is>
      </c>
      <c r="K7" s="4"/>
      <c r="L7" t="inlineStr" s="4">
        <is>
          <t>Not Run</t>
        </is>
      </c>
      <c r="M7" t="inlineStr" s="4">
        <is>
          <t>P0</t>
        </is>
      </c>
      <c r="N7" t="inlineStr" s="4">
        <is>
          <t>High</t>
        </is>
      </c>
      <c r="O7" t="inlineStr" s="4">
        <is>
          <t>Validation</t>
        </is>
      </c>
      <c r="P7" t="inlineStr" s="4">
        <is>
          <t>Staging / QA</t>
        </is>
      </c>
      <c r="Q7" t="inlineStr" s="4">
        <is>
          <t>Chrome desktop + Android Chrome unless specified</t>
        </is>
      </c>
      <c r="R7" t="inlineStr" s="4">
        <is>
          <t>/register</t>
        </is>
      </c>
      <c r="S7" t="inlineStr" s="4">
        <is>
          <t>Maybe</t>
        </is>
      </c>
      <c r="T7" t="inlineStr" s="4">
        <is>
          <t>Yes</t>
        </is>
      </c>
      <c r="U7" t="inlineStr" s="4">
        <is>
          <t>Codex QA Generator</t>
        </is>
      </c>
      <c r="V7" s="4"/>
      <c r="W7" s="4"/>
      <c r="X7" s="4"/>
      <c r="Y7" s="4"/>
    </row>
    <row r="8" ht="54" customHeight="1">
      <c r="A8" t="inlineStr" s="4">
        <is>
          <t>TC-AUTH-007</t>
        </is>
      </c>
      <c r="B8" t="inlineStr" s="4">
        <is>
          <t>TS-AUTH-002</t>
        </is>
      </c>
      <c r="C8" t="inlineStr" s="4">
        <is>
          <t>Authentication</t>
        </is>
      </c>
      <c r="D8" t="inlineStr" s="4">
        <is>
          <t>Registration</t>
        </is>
      </c>
      <c r="E8" t="inlineStr" s="4">
        <is>
          <t>Register rejects missing phone/WhatsApp</t>
        </is>
      </c>
      <c r="F8" t="inlineStr" s="4">
        <is>
          <t>Guest</t>
        </is>
      </c>
      <c r="G8" t="inlineStr" s="4">
        <is>
          <t>Register page is reachable.</t>
        </is>
      </c>
      <c r="H8" t="inlineStr" s="4">
        <is>
          <t>Valid identity without phone/WhatsApp</t>
        </is>
      </c>
      <c r="I8" t="inlineStr" s="4">
        <is>
          <t>1. Open /register.
2. Fill fields according to test data.
3. Submit registration.
4. Observe validation or success flow.</t>
        </is>
      </c>
      <c r="J8" t="inlineStr" s="4">
        <is>
          <t>Registration fails with phone/WhatsApp required error.</t>
        </is>
      </c>
      <c r="K8" s="4"/>
      <c r="L8" t="inlineStr" s="4">
        <is>
          <t>Not Run</t>
        </is>
      </c>
      <c r="M8" t="inlineStr" s="4">
        <is>
          <t>P0</t>
        </is>
      </c>
      <c r="N8" t="inlineStr" s="4">
        <is>
          <t>High</t>
        </is>
      </c>
      <c r="O8" t="inlineStr" s="4">
        <is>
          <t>Validation</t>
        </is>
      </c>
      <c r="P8" t="inlineStr" s="4">
        <is>
          <t>Staging / QA</t>
        </is>
      </c>
      <c r="Q8" t="inlineStr" s="4">
        <is>
          <t>Chrome desktop + Android Chrome unless specified</t>
        </is>
      </c>
      <c r="R8" t="inlineStr" s="4">
        <is>
          <t>/register</t>
        </is>
      </c>
      <c r="S8" t="inlineStr" s="4">
        <is>
          <t>Maybe</t>
        </is>
      </c>
      <c r="T8" t="inlineStr" s="4">
        <is>
          <t>Yes</t>
        </is>
      </c>
      <c r="U8" t="inlineStr" s="4">
        <is>
          <t>Codex QA Generator</t>
        </is>
      </c>
      <c r="V8" s="4"/>
      <c r="W8" s="4"/>
      <c r="X8" s="4"/>
      <c r="Y8" s="4"/>
    </row>
    <row r="9" ht="54" customHeight="1">
      <c r="A9" t="inlineStr" s="4">
        <is>
          <t>TC-AUTH-008</t>
        </is>
      </c>
      <c r="B9" t="inlineStr" s="4">
        <is>
          <t>TS-AUTH-002</t>
        </is>
      </c>
      <c r="C9" t="inlineStr" s="4">
        <is>
          <t>Authentication</t>
        </is>
      </c>
      <c r="D9" t="inlineStr" s="4">
        <is>
          <t>Registration</t>
        </is>
      </c>
      <c r="E9" t="inlineStr" s="4">
        <is>
          <t>Register rejects unchecked legal terms</t>
        </is>
      </c>
      <c r="F9" t="inlineStr" s="4">
        <is>
          <t>Guest</t>
        </is>
      </c>
      <c r="G9" t="inlineStr" s="4">
        <is>
          <t>Register page is reachable.</t>
        </is>
      </c>
      <c r="H9" t="inlineStr" s="4">
        <is>
          <t>Valid identity with legal checklist unchecked</t>
        </is>
      </c>
      <c r="I9" t="inlineStr" s="4">
        <is>
          <t>1. Open /register.
2. Fill fields according to test data.
3. Submit registration.
4. Observe validation or success flow.</t>
        </is>
      </c>
      <c r="J9" t="inlineStr" s="4">
        <is>
          <t>Modal/validation asks user to accept terms and account is not created.</t>
        </is>
      </c>
      <c r="K9" s="4"/>
      <c r="L9" t="inlineStr" s="4">
        <is>
          <t>Not Run</t>
        </is>
      </c>
      <c r="M9" t="inlineStr" s="4">
        <is>
          <t>P0</t>
        </is>
      </c>
      <c r="N9" t="inlineStr" s="4">
        <is>
          <t>High</t>
        </is>
      </c>
      <c r="O9" t="inlineStr" s="4">
        <is>
          <t>Validation</t>
        </is>
      </c>
      <c r="P9" t="inlineStr" s="4">
        <is>
          <t>Staging / QA</t>
        </is>
      </c>
      <c r="Q9" t="inlineStr" s="4">
        <is>
          <t>Chrome desktop + Android Chrome unless specified</t>
        </is>
      </c>
      <c r="R9" t="inlineStr" s="4">
        <is>
          <t>/register</t>
        </is>
      </c>
      <c r="S9" t="inlineStr" s="4">
        <is>
          <t>Maybe</t>
        </is>
      </c>
      <c r="T9" t="inlineStr" s="4">
        <is>
          <t>Yes</t>
        </is>
      </c>
      <c r="U9" t="inlineStr" s="4">
        <is>
          <t>Codex QA Generator</t>
        </is>
      </c>
      <c r="V9" s="4"/>
      <c r="W9" s="4"/>
      <c r="X9" s="4"/>
      <c r="Y9" s="4"/>
    </row>
    <row r="10" ht="54" customHeight="1">
      <c r="A10" t="inlineStr" s="4">
        <is>
          <t>TC-AUTH-009</t>
        </is>
      </c>
      <c r="B10" t="inlineStr" s="4">
        <is>
          <t>TS-AUTH-002</t>
        </is>
      </c>
      <c r="C10" t="inlineStr" s="4">
        <is>
          <t>Authentication</t>
        </is>
      </c>
      <c r="D10" t="inlineStr" s="4">
        <is>
          <t>Registration</t>
        </is>
      </c>
      <c r="E10" t="inlineStr" s="4">
        <is>
          <t>Register rejects duplicate email</t>
        </is>
      </c>
      <c r="F10" t="inlineStr" s="4">
        <is>
          <t>Guest</t>
        </is>
      </c>
      <c r="G10" t="inlineStr" s="4">
        <is>
          <t>Register page is reachable.</t>
        </is>
      </c>
      <c r="H10" t="inlineStr" s="4">
        <is>
          <t>Email already registered</t>
        </is>
      </c>
      <c r="I10" t="inlineStr" s="4">
        <is>
          <t>1. Open /register.
2. Fill fields according to test data.
3. Submit registration.
4. Observe validation or success flow.</t>
        </is>
      </c>
      <c r="J10" t="inlineStr" s="4">
        <is>
          <t>Validation rejects duplicate email and preserves entered non-sensitive fields.</t>
        </is>
      </c>
      <c r="K10" s="4"/>
      <c r="L10" t="inlineStr" s="4">
        <is>
          <t>Not Run</t>
        </is>
      </c>
      <c r="M10" t="inlineStr" s="4">
        <is>
          <t>P1</t>
        </is>
      </c>
      <c r="N10" t="inlineStr" s="4">
        <is>
          <t>High</t>
        </is>
      </c>
      <c r="O10" t="inlineStr" s="4">
        <is>
          <t>Validation</t>
        </is>
      </c>
      <c r="P10" t="inlineStr" s="4">
        <is>
          <t>Staging / QA</t>
        </is>
      </c>
      <c r="Q10" t="inlineStr" s="4">
        <is>
          <t>Chrome desktop + Android Chrome unless specified</t>
        </is>
      </c>
      <c r="R10" t="inlineStr" s="4">
        <is>
          <t>/register</t>
        </is>
      </c>
      <c r="S10" t="inlineStr" s="4">
        <is>
          <t>Maybe</t>
        </is>
      </c>
      <c r="T10" t="inlineStr" s="4">
        <is>
          <t>Yes</t>
        </is>
      </c>
      <c r="U10" t="inlineStr" s="4">
        <is>
          <t>Codex QA Generator</t>
        </is>
      </c>
      <c r="V10" s="4"/>
      <c r="W10" s="4"/>
      <c r="X10" s="4"/>
      <c r="Y10" s="4"/>
    </row>
    <row r="11" ht="54" customHeight="1">
      <c r="A11" t="inlineStr" s="4">
        <is>
          <t>TC-AUTH-010</t>
        </is>
      </c>
      <c r="B11" t="inlineStr" s="4">
        <is>
          <t>TS-AUTH-002</t>
        </is>
      </c>
      <c r="C11" t="inlineStr" s="4">
        <is>
          <t>Authentication</t>
        </is>
      </c>
      <c r="D11" t="inlineStr" s="4">
        <is>
          <t>Registration</t>
        </is>
      </c>
      <c r="E11" t="inlineStr" s="4">
        <is>
          <t>Register password confirmation mismatch</t>
        </is>
      </c>
      <c r="F11" t="inlineStr" s="4">
        <is>
          <t>Guest</t>
        </is>
      </c>
      <c r="G11" t="inlineStr" s="4">
        <is>
          <t>Register page is reachable.</t>
        </is>
      </c>
      <c r="H11" t="inlineStr" s="4">
        <is>
          <t>Password and confirmation differ</t>
        </is>
      </c>
      <c r="I11" t="inlineStr" s="4">
        <is>
          <t>1. Open /register.
2. Fill fields according to test data.
3. Submit registration.
4. Observe validation or success flow.</t>
        </is>
      </c>
      <c r="J11" t="inlineStr" s="4">
        <is>
          <t>Validation rejects form and explains password confirmation mismatch.</t>
        </is>
      </c>
      <c r="K11" s="4"/>
      <c r="L11" t="inlineStr" s="4">
        <is>
          <t>Not Run</t>
        </is>
      </c>
      <c r="M11" t="inlineStr" s="4">
        <is>
          <t>P1</t>
        </is>
      </c>
      <c r="N11" t="inlineStr" s="4">
        <is>
          <t>High</t>
        </is>
      </c>
      <c r="O11" t="inlineStr" s="4">
        <is>
          <t>Validation</t>
        </is>
      </c>
      <c r="P11" t="inlineStr" s="4">
        <is>
          <t>Staging / QA</t>
        </is>
      </c>
      <c r="Q11" t="inlineStr" s="4">
        <is>
          <t>Chrome desktop + Android Chrome unless specified</t>
        </is>
      </c>
      <c r="R11" t="inlineStr" s="4">
        <is>
          <t>/register</t>
        </is>
      </c>
      <c r="S11" t="inlineStr" s="4">
        <is>
          <t>Maybe</t>
        </is>
      </c>
      <c r="T11" t="inlineStr" s="4">
        <is>
          <t>Yes</t>
        </is>
      </c>
      <c r="U11" t="inlineStr" s="4">
        <is>
          <t>Codex QA Generator</t>
        </is>
      </c>
      <c r="V11" s="4"/>
      <c r="W11" s="4"/>
      <c r="X11" s="4"/>
      <c r="Y11" s="4"/>
    </row>
    <row r="12" ht="54" customHeight="1">
      <c r="A12" t="inlineStr" s="4">
        <is>
          <t>TC-AUTH-011</t>
        </is>
      </c>
      <c r="B12" t="inlineStr" s="4">
        <is>
          <t>TS-AUTH-003</t>
        </is>
      </c>
      <c r="C12" t="inlineStr" s="4">
        <is>
          <t>Authentication</t>
        </is>
      </c>
      <c r="D12" t="inlineStr" s="4">
        <is>
          <t>Recovery / Verification / Passkey</t>
        </is>
      </c>
      <c r="E12" t="inlineStr" s="4">
        <is>
          <t>Forgot password accepts registered email</t>
        </is>
      </c>
      <c r="F12" t="inlineStr" s="4">
        <is>
          <t>Guest/User</t>
        </is>
      </c>
      <c r="G12" t="inlineStr" s="4">
        <is>
          <t>Relevant account exists where required.</t>
        </is>
      </c>
      <c r="H12" t="inlineStr" s="4">
        <is>
          <t>Registered email</t>
        </is>
      </c>
      <c r="I12" t="inlineStr" s="4">
        <is>
          <t>1. Open or call /forgot-password.
2. Provide the test data.
3. Submit.
4. Observe response and account state.</t>
        </is>
      </c>
      <c r="J12" t="inlineStr" s="4">
        <is>
          <t>Reset/verification message is queued without exposing whether email exists beyond intended copy.</t>
        </is>
      </c>
      <c r="K12" s="4"/>
      <c r="L12" t="inlineStr" s="4">
        <is>
          <t>Not Run</t>
        </is>
      </c>
      <c r="M12" t="inlineStr" s="4">
        <is>
          <t>P1</t>
        </is>
      </c>
      <c r="N12" t="inlineStr" s="4">
        <is>
          <t>High</t>
        </is>
      </c>
      <c r="O12" t="inlineStr" s="4">
        <is>
          <t>Authentication</t>
        </is>
      </c>
      <c r="P12" t="inlineStr" s="4">
        <is>
          <t>Staging / QA</t>
        </is>
      </c>
      <c r="Q12" t="inlineStr" s="4">
        <is>
          <t>Chrome desktop + Android Chrome unless specified</t>
        </is>
      </c>
      <c r="R12" t="inlineStr" s="4">
        <is>
          <t>/forgot-password</t>
        </is>
      </c>
      <c r="S12" t="inlineStr" s="4">
        <is>
          <t>Maybe</t>
        </is>
      </c>
      <c r="T12" t="inlineStr" s="4">
        <is>
          <t>Yes</t>
        </is>
      </c>
      <c r="U12" t="inlineStr" s="4">
        <is>
          <t>Codex QA Generator</t>
        </is>
      </c>
      <c r="V12" s="4"/>
      <c r="W12" s="4"/>
      <c r="X12" s="4"/>
      <c r="Y12" s="4"/>
    </row>
    <row r="13" ht="54" customHeight="1">
      <c r="A13" t="inlineStr" s="4">
        <is>
          <t>TC-AUTH-012</t>
        </is>
      </c>
      <c r="B13" t="inlineStr" s="4">
        <is>
          <t>TS-AUTH-003</t>
        </is>
      </c>
      <c r="C13" t="inlineStr" s="4">
        <is>
          <t>Authentication</t>
        </is>
      </c>
      <c r="D13" t="inlineStr" s="4">
        <is>
          <t>Recovery / Verification / Passkey</t>
        </is>
      </c>
      <c r="E13" t="inlineStr" s="4">
        <is>
          <t>Reset password rejects invalid token</t>
        </is>
      </c>
      <c r="F13" t="inlineStr" s="4">
        <is>
          <t>Guest/User</t>
        </is>
      </c>
      <c r="G13" t="inlineStr" s="4">
        <is>
          <t>Relevant account exists where required.</t>
        </is>
      </c>
      <c r="H13" t="inlineStr" s="4">
        <is>
          <t>Invalid or expired token</t>
        </is>
      </c>
      <c r="I13" t="inlineStr" s="4">
        <is>
          <t>1. Open or call /reset-password/{token}.
2. Provide the test data.
3. Submit.
4. Observe response and account state.</t>
        </is>
      </c>
      <c r="J13" t="inlineStr" s="4">
        <is>
          <t>Password is not changed and safe error is shown.</t>
        </is>
      </c>
      <c r="K13" s="4"/>
      <c r="L13" t="inlineStr" s="4">
        <is>
          <t>Not Run</t>
        </is>
      </c>
      <c r="M13" t="inlineStr" s="4">
        <is>
          <t>P1</t>
        </is>
      </c>
      <c r="N13" t="inlineStr" s="4">
        <is>
          <t>High</t>
        </is>
      </c>
      <c r="O13" t="inlineStr" s="4">
        <is>
          <t>Authentication</t>
        </is>
      </c>
      <c r="P13" t="inlineStr" s="4">
        <is>
          <t>Staging / QA</t>
        </is>
      </c>
      <c r="Q13" t="inlineStr" s="4">
        <is>
          <t>Chrome desktop + Android Chrome unless specified</t>
        </is>
      </c>
      <c r="R13" t="inlineStr" s="4">
        <is>
          <t>/reset-password/{token}</t>
        </is>
      </c>
      <c r="S13" t="inlineStr" s="4">
        <is>
          <t>Maybe</t>
        </is>
      </c>
      <c r="T13" t="inlineStr" s="4">
        <is>
          <t>Yes</t>
        </is>
      </c>
      <c r="U13" t="inlineStr" s="4">
        <is>
          <t>Codex QA Generator</t>
        </is>
      </c>
      <c r="V13" s="4"/>
      <c r="W13" s="4"/>
      <c r="X13" s="4"/>
      <c r="Y13" s="4"/>
    </row>
    <row r="14" ht="54" customHeight="1">
      <c r="A14" t="inlineStr" s="4">
        <is>
          <t>TC-AUTH-013</t>
        </is>
      </c>
      <c r="B14" t="inlineStr" s="4">
        <is>
          <t>TS-AUTH-003</t>
        </is>
      </c>
      <c r="C14" t="inlineStr" s="4">
        <is>
          <t>Authentication</t>
        </is>
      </c>
      <c r="D14" t="inlineStr" s="4">
        <is>
          <t>Recovery / Verification / Passkey</t>
        </is>
      </c>
      <c r="E14" t="inlineStr" s="4">
        <is>
          <t>Email verification link validates signature</t>
        </is>
      </c>
      <c r="F14" t="inlineStr" s="4">
        <is>
          <t>Guest/User</t>
        </is>
      </c>
      <c r="G14" t="inlineStr" s="4">
        <is>
          <t>Relevant account exists where required.</t>
        </is>
      </c>
      <c r="H14" t="inlineStr" s="4">
        <is>
          <t>Valid signed verification link</t>
        </is>
      </c>
      <c r="I14" t="inlineStr" s="4">
        <is>
          <t>1. Open or call /email/verify/{id}/{hash}.
2. Provide the test data.
3. Submit.
4. Observe response and account state.</t>
        </is>
      </c>
      <c r="J14" t="inlineStr" s="4">
        <is>
          <t>Email is marked verified and user is redirected as configured.</t>
        </is>
      </c>
      <c r="K14" s="4"/>
      <c r="L14" t="inlineStr" s="4">
        <is>
          <t>Not Run</t>
        </is>
      </c>
      <c r="M14" t="inlineStr" s="4">
        <is>
          <t>P1</t>
        </is>
      </c>
      <c r="N14" t="inlineStr" s="4">
        <is>
          <t>High</t>
        </is>
      </c>
      <c r="O14" t="inlineStr" s="4">
        <is>
          <t>Authentication</t>
        </is>
      </c>
      <c r="P14" t="inlineStr" s="4">
        <is>
          <t>Staging / QA</t>
        </is>
      </c>
      <c r="Q14" t="inlineStr" s="4">
        <is>
          <t>Chrome desktop + Android Chrome unless specified</t>
        </is>
      </c>
      <c r="R14" t="inlineStr" s="4">
        <is>
          <t>/email/verify/{id}/{hash}</t>
        </is>
      </c>
      <c r="S14" t="inlineStr" s="4">
        <is>
          <t>Maybe</t>
        </is>
      </c>
      <c r="T14" t="inlineStr" s="4">
        <is>
          <t>Yes</t>
        </is>
      </c>
      <c r="U14" t="inlineStr" s="4">
        <is>
          <t>Codex QA Generator</t>
        </is>
      </c>
      <c r="V14" s="4"/>
      <c r="W14" s="4"/>
      <c r="X14" s="4"/>
      <c r="Y14" s="4"/>
    </row>
    <row r="15" ht="54" customHeight="1">
      <c r="A15" t="inlineStr" s="4">
        <is>
          <t>TC-AUTH-014</t>
        </is>
      </c>
      <c r="B15" t="inlineStr" s="4">
        <is>
          <t>TS-AUTH-003</t>
        </is>
      </c>
      <c r="C15" t="inlineStr" s="4">
        <is>
          <t>Authentication</t>
        </is>
      </c>
      <c r="D15" t="inlineStr" s="4">
        <is>
          <t>Recovery / Verification / Passkey</t>
        </is>
      </c>
      <c r="E15" t="inlineStr" s="4">
        <is>
          <t>Two factor challenge accepts valid code</t>
        </is>
      </c>
      <c r="F15" t="inlineStr" s="4">
        <is>
          <t>Guest/User</t>
        </is>
      </c>
      <c r="G15" t="inlineStr" s="4">
        <is>
          <t>Relevant account exists where required.</t>
        </is>
      </c>
      <c r="H15" t="inlineStr" s="4">
        <is>
          <t>User with 2FA enabled and valid code</t>
        </is>
      </c>
      <c r="I15" t="inlineStr" s="4">
        <is>
          <t>1. Open or call /two-factor-challenge.
2. Provide the test data.
3. Submit.
4. Observe response and account state.</t>
        </is>
      </c>
      <c r="J15" t="inlineStr" s="4">
        <is>
          <t>Authentication completes successfully.</t>
        </is>
      </c>
      <c r="K15" s="4"/>
      <c r="L15" t="inlineStr" s="4">
        <is>
          <t>Not Run</t>
        </is>
      </c>
      <c r="M15" t="inlineStr" s="4">
        <is>
          <t>P1</t>
        </is>
      </c>
      <c r="N15" t="inlineStr" s="4">
        <is>
          <t>High</t>
        </is>
      </c>
      <c r="O15" t="inlineStr" s="4">
        <is>
          <t>Authentication</t>
        </is>
      </c>
      <c r="P15" t="inlineStr" s="4">
        <is>
          <t>Staging / QA</t>
        </is>
      </c>
      <c r="Q15" t="inlineStr" s="4">
        <is>
          <t>Chrome desktop + Android Chrome unless specified</t>
        </is>
      </c>
      <c r="R15" t="inlineStr" s="4">
        <is>
          <t>/two-factor-challenge</t>
        </is>
      </c>
      <c r="S15" t="inlineStr" s="4">
        <is>
          <t>Maybe</t>
        </is>
      </c>
      <c r="T15" t="inlineStr" s="4">
        <is>
          <t>Yes</t>
        </is>
      </c>
      <c r="U15" t="inlineStr" s="4">
        <is>
          <t>Codex QA Generator</t>
        </is>
      </c>
      <c r="V15" s="4"/>
      <c r="W15" s="4"/>
      <c r="X15" s="4"/>
      <c r="Y15" s="4"/>
    </row>
    <row r="16" ht="54" customHeight="1">
      <c r="A16" t="inlineStr" s="4">
        <is>
          <t>TC-AUTH-015</t>
        </is>
      </c>
      <c r="B16" t="inlineStr" s="4">
        <is>
          <t>TS-AUTH-003</t>
        </is>
      </c>
      <c r="C16" t="inlineStr" s="4">
        <is>
          <t>Authentication</t>
        </is>
      </c>
      <c r="D16" t="inlineStr" s="4">
        <is>
          <t>Recovery / Verification / Passkey</t>
        </is>
      </c>
      <c r="E16" t="inlineStr" s="4">
        <is>
          <t>Passkey login rejects unknown credential</t>
        </is>
      </c>
      <c r="F16" t="inlineStr" s="4">
        <is>
          <t>Guest/User</t>
        </is>
      </c>
      <c r="G16" t="inlineStr" s="4">
        <is>
          <t>Relevant account exists where required.</t>
        </is>
      </c>
      <c r="H16" t="inlineStr" s="4">
        <is>
          <t>Unknown credential/assertion</t>
        </is>
      </c>
      <c r="I16" t="inlineStr" s="4">
        <is>
          <t>1. Open or call /api/auth/passkeys/login.
2. Provide the test data.
3. Submit.
4. Observe response and account state.</t>
        </is>
      </c>
      <c r="J16" t="inlineStr" s="4">
        <is>
          <t>API rejects login and does not reveal account availability.</t>
        </is>
      </c>
      <c r="K16" s="4"/>
      <c r="L16" t="inlineStr" s="4">
        <is>
          <t>Not Run</t>
        </is>
      </c>
      <c r="M16" t="inlineStr" s="4">
        <is>
          <t>P1</t>
        </is>
      </c>
      <c r="N16" t="inlineStr" s="4">
        <is>
          <t>High</t>
        </is>
      </c>
      <c r="O16" t="inlineStr" s="4">
        <is>
          <t>Authentication</t>
        </is>
      </c>
      <c r="P16" t="inlineStr" s="4">
        <is>
          <t>Staging / QA</t>
        </is>
      </c>
      <c r="Q16" t="inlineStr" s="4">
        <is>
          <t>Chrome desktop + Android Chrome unless specified</t>
        </is>
      </c>
      <c r="R16" t="inlineStr" s="4">
        <is>
          <t>/api/auth/passkeys/login</t>
        </is>
      </c>
      <c r="S16" t="inlineStr" s="4">
        <is>
          <t>Maybe</t>
        </is>
      </c>
      <c r="T16" t="inlineStr" s="4">
        <is>
          <t>Yes</t>
        </is>
      </c>
      <c r="U16" t="inlineStr" s="4">
        <is>
          <t>Codex QA Generator</t>
        </is>
      </c>
      <c r="V16" s="4"/>
      <c r="W16" s="4"/>
      <c r="X16" s="4"/>
      <c r="Y16" s="4"/>
    </row>
    <row r="17" ht="54" customHeight="1">
      <c r="A17" t="inlineStr" s="4">
        <is>
          <t>TC-HOME-001</t>
        </is>
      </c>
      <c r="B17" t="inlineStr" s="4">
        <is>
          <t>TS-HOME-001</t>
        </is>
      </c>
      <c r="C17" t="inlineStr" s="4">
        <is>
          <t>Public Home</t>
        </is>
      </c>
      <c r="D17" t="inlineStr" s="4">
        <is>
          <t>Homepage / Public Content</t>
        </is>
      </c>
      <c r="E17" t="inlineStr" s="4">
        <is>
          <t>Homepage opens with managed banner carousel</t>
        </is>
      </c>
      <c r="F17" t="inlineStr" s="4">
        <is>
          <t>Guest/User</t>
        </is>
      </c>
      <c r="G17" t="inlineStr" s="4">
        <is>
          <t>Public routes are accessible and content data exists as described.</t>
        </is>
      </c>
      <c r="H17" t="inlineStr" s="4">
        <is>
          <t>Open / as guest</t>
        </is>
      </c>
      <c r="I17" t="inlineStr" s="4">
        <is>
          <t>1. Open the target public page.
2. Inspect visible sections and interactions.
3. Repeat on desktop and mobile where specified.</t>
        </is>
      </c>
      <c r="J17" t="inlineStr" s="4">
        <is>
          <t>Homepage loads, banner carousel is visible, no server error occurs, and active tourism content appears.</t>
        </is>
      </c>
      <c r="K17" s="4"/>
      <c r="L17" t="inlineStr" s="4">
        <is>
          <t>Not Run</t>
        </is>
      </c>
      <c r="M17" t="inlineStr" s="4">
        <is>
          <t>P2</t>
        </is>
      </c>
      <c r="N17" t="inlineStr" s="4">
        <is>
          <t>Medium</t>
        </is>
      </c>
      <c r="O17" t="inlineStr" s="4">
        <is>
          <t>UI</t>
        </is>
      </c>
      <c r="P17" t="inlineStr" s="4">
        <is>
          <t>Staging / QA</t>
        </is>
      </c>
      <c r="Q17" t="inlineStr" s="4">
        <is>
          <t>Chrome desktop + Android Chrome unless specified</t>
        </is>
      </c>
      <c r="R17" t="inlineStr" s="4">
        <is>
          <t>/, /about</t>
        </is>
      </c>
      <c r="S17" t="inlineStr" s="4">
        <is>
          <t>Maybe</t>
        </is>
      </c>
      <c r="T17" t="inlineStr" s="4">
        <is>
          <t>Yes</t>
        </is>
      </c>
      <c r="U17" t="inlineStr" s="4">
        <is>
          <t>Codex QA Generator</t>
        </is>
      </c>
      <c r="V17" s="4"/>
      <c r="W17" s="4"/>
      <c r="X17" s="4"/>
      <c r="Y17" s="4"/>
    </row>
    <row r="18" ht="54" customHeight="1">
      <c r="A18" t="inlineStr" s="4">
        <is>
          <t>TC-HOME-002</t>
        </is>
      </c>
      <c r="B18" t="inlineStr" s="4">
        <is>
          <t>TS-HOME-001</t>
        </is>
      </c>
      <c r="C18" t="inlineStr" s="4">
        <is>
          <t>Public Home</t>
        </is>
      </c>
      <c r="D18" t="inlineStr" s="4">
        <is>
          <t>Homepage / Public Content</t>
        </is>
      </c>
      <c r="E18" t="inlineStr" s="4">
        <is>
          <t>Desktop banner side previews are proportional</t>
        </is>
      </c>
      <c r="F18" t="inlineStr" s="4">
        <is>
          <t>Guest/User</t>
        </is>
      </c>
      <c r="G18" t="inlineStr" s="4">
        <is>
          <t>Public routes are accessible and content data exists as described.</t>
        </is>
      </c>
      <c r="H18" t="inlineStr" s="4">
        <is>
          <t>1440x900 viewport</t>
        </is>
      </c>
      <c r="I18" t="inlineStr" s="4">
        <is>
          <t>1. Open the target public page.
2. Inspect visible sections and interactions.
3. Repeat on desktop and mobile where specified.</t>
        </is>
      </c>
      <c r="J18" t="inlineStr" s="4">
        <is>
          <t>Main banner is centered, side slides peek with rounded corners and smooth transition.</t>
        </is>
      </c>
      <c r="K18" s="4"/>
      <c r="L18" t="inlineStr" s="4">
        <is>
          <t>Not Run</t>
        </is>
      </c>
      <c r="M18" t="inlineStr" s="4">
        <is>
          <t>P1</t>
        </is>
      </c>
      <c r="N18" t="inlineStr" s="4">
        <is>
          <t>Medium</t>
        </is>
      </c>
      <c r="O18" t="inlineStr" s="4">
        <is>
          <t>UI</t>
        </is>
      </c>
      <c r="P18" t="inlineStr" s="4">
        <is>
          <t>Staging / QA</t>
        </is>
      </c>
      <c r="Q18" t="inlineStr" s="4">
        <is>
          <t>Chrome desktop + Android Chrome unless specified</t>
        </is>
      </c>
      <c r="R18" t="inlineStr" s="4">
        <is>
          <t>/, /about</t>
        </is>
      </c>
      <c r="S18" t="inlineStr" s="4">
        <is>
          <t>Maybe</t>
        </is>
      </c>
      <c r="T18" t="inlineStr" s="4">
        <is>
          <t>Yes</t>
        </is>
      </c>
      <c r="U18" t="inlineStr" s="4">
        <is>
          <t>Codex QA Generator</t>
        </is>
      </c>
      <c r="V18" s="4"/>
      <c r="W18" s="4"/>
      <c r="X18" s="4"/>
      <c r="Y18" s="4"/>
    </row>
    <row r="19" ht="54" customHeight="1">
      <c r="A19" t="inlineStr" s="4">
        <is>
          <t>TC-HOME-003</t>
        </is>
      </c>
      <c r="B19" t="inlineStr" s="4">
        <is>
          <t>TS-HOME-001</t>
        </is>
      </c>
      <c r="C19" t="inlineStr" s="4">
        <is>
          <t>Public Home</t>
        </is>
      </c>
      <c r="D19" t="inlineStr" s="4">
        <is>
          <t>Homepage / Public Content</t>
        </is>
      </c>
      <c r="E19" t="inlineStr" s="4">
        <is>
          <t>Mobile homepage remains scrollable without horizontal overflow</t>
        </is>
      </c>
      <c r="F19" t="inlineStr" s="4">
        <is>
          <t>Guest/User</t>
        </is>
      </c>
      <c r="G19" t="inlineStr" s="4">
        <is>
          <t>Public routes are accessible and content data exists as described.</t>
        </is>
      </c>
      <c r="H19" t="inlineStr" s="4">
        <is>
          <t>390x844 viewport</t>
        </is>
      </c>
      <c r="I19" t="inlineStr" s="4">
        <is>
          <t>1. Open the target public page.
2. Inspect visible sections and interactions.
3. Repeat on desktop and mobile where specified.</t>
        </is>
      </c>
      <c r="J19" t="inlineStr" s="4">
        <is>
          <t>Logo, search, banner, promo, category sections, and bottom navigation remain usable without horizontal scroll.</t>
        </is>
      </c>
      <c r="K19" s="4"/>
      <c r="L19" t="inlineStr" s="4">
        <is>
          <t>Not Run</t>
        </is>
      </c>
      <c r="M19" t="inlineStr" s="4">
        <is>
          <t>P1</t>
        </is>
      </c>
      <c r="N19" t="inlineStr" s="4">
        <is>
          <t>Medium</t>
        </is>
      </c>
      <c r="O19" t="inlineStr" s="4">
        <is>
          <t>UI</t>
        </is>
      </c>
      <c r="P19" t="inlineStr" s="4">
        <is>
          <t>Staging / QA</t>
        </is>
      </c>
      <c r="Q19" t="inlineStr" s="4">
        <is>
          <t>Chrome desktop + Android Chrome unless specified</t>
        </is>
      </c>
      <c r="R19" t="inlineStr" s="4">
        <is>
          <t>/, /about</t>
        </is>
      </c>
      <c r="S19" t="inlineStr" s="4">
        <is>
          <t>Maybe</t>
        </is>
      </c>
      <c r="T19" t="inlineStr" s="4">
        <is>
          <t>Yes</t>
        </is>
      </c>
      <c r="U19" t="inlineStr" s="4">
        <is>
          <t>Codex QA Generator</t>
        </is>
      </c>
      <c r="V19" s="4"/>
      <c r="W19" s="4"/>
      <c r="X19" s="4"/>
      <c r="Y19" s="4"/>
    </row>
    <row r="20" ht="54" customHeight="1">
      <c r="A20" t="inlineStr" s="4">
        <is>
          <t>TC-HOME-004</t>
        </is>
      </c>
      <c r="B20" t="inlineStr" s="4">
        <is>
          <t>TS-HOME-001</t>
        </is>
      </c>
      <c r="C20" t="inlineStr" s="4">
        <is>
          <t>Public Home</t>
        </is>
      </c>
      <c r="D20" t="inlineStr" s="4">
        <is>
          <t>Homepage / Public Content</t>
        </is>
      </c>
      <c r="E20" t="inlineStr" s="4">
        <is>
          <t>Partner section hides when no active partner exists</t>
        </is>
      </c>
      <c r="F20" t="inlineStr" s="4">
        <is>
          <t>Guest/User</t>
        </is>
      </c>
      <c r="G20" t="inlineStr" s="4">
        <is>
          <t>Public routes are accessible and content data exists as described.</t>
        </is>
      </c>
      <c r="H20" t="inlineStr" s="4">
        <is>
          <t>No active partner data in QA seed</t>
        </is>
      </c>
      <c r="I20" t="inlineStr" s="4">
        <is>
          <t>1. Open the target public page.
2. Inspect visible sections and interactions.
3. Repeat on desktop and mobile where specified.</t>
        </is>
      </c>
      <c r="J20" t="inlineStr" s="4">
        <is>
          <t>Partner Kami section is not rendered instead of showing an empty shell.</t>
        </is>
      </c>
      <c r="K20" s="4"/>
      <c r="L20" t="inlineStr" s="4">
        <is>
          <t>Not Run</t>
        </is>
      </c>
      <c r="M20" t="inlineStr" s="4">
        <is>
          <t>P2</t>
        </is>
      </c>
      <c r="N20" t="inlineStr" s="4">
        <is>
          <t>Medium</t>
        </is>
      </c>
      <c r="O20" t="inlineStr" s="4">
        <is>
          <t>UI</t>
        </is>
      </c>
      <c r="P20" t="inlineStr" s="4">
        <is>
          <t>Staging / QA</t>
        </is>
      </c>
      <c r="Q20" t="inlineStr" s="4">
        <is>
          <t>Chrome desktop + Android Chrome unless specified</t>
        </is>
      </c>
      <c r="R20" t="inlineStr" s="4">
        <is>
          <t>/, /about</t>
        </is>
      </c>
      <c r="S20" t="inlineStr" s="4">
        <is>
          <t>Maybe</t>
        </is>
      </c>
      <c r="T20" t="inlineStr" s="4">
        <is>
          <t>Yes</t>
        </is>
      </c>
      <c r="U20" t="inlineStr" s="4">
        <is>
          <t>Codex QA Generator</t>
        </is>
      </c>
      <c r="V20" s="4"/>
      <c r="W20" s="4"/>
      <c r="X20" s="4"/>
      <c r="Y20" s="4"/>
    </row>
    <row r="21" ht="54" customHeight="1">
      <c r="A21" t="inlineStr" s="4">
        <is>
          <t>TC-HOME-005</t>
        </is>
      </c>
      <c r="B21" t="inlineStr" s="4">
        <is>
          <t>TS-HOME-001</t>
        </is>
      </c>
      <c r="C21" t="inlineStr" s="4">
        <is>
          <t>Public Home</t>
        </is>
      </c>
      <c r="D21" t="inlineStr" s="4">
        <is>
          <t>Homepage / Public Content</t>
        </is>
      </c>
      <c r="E21" t="inlineStr" s="4">
        <is>
          <t>Part Of section displays separate logo collection</t>
        </is>
      </c>
      <c r="F21" t="inlineStr" s="4">
        <is>
          <t>Guest/User</t>
        </is>
      </c>
      <c r="G21" t="inlineStr" s="4">
        <is>
          <t>Public routes are accessible and content data exists as described.</t>
        </is>
      </c>
      <c r="H21" t="inlineStr" s="4">
        <is>
          <t>Active part-of logo rows configured</t>
        </is>
      </c>
      <c r="I21" t="inlineStr" s="4">
        <is>
          <t>1. Open the target public page.
2. Inspect visible sections and interactions.
3. Repeat on desktop and mobile where specified.</t>
        </is>
      </c>
      <c r="J21" t="inlineStr" s="4">
        <is>
          <t>Part Of section uses dedicated logos, not partner logos, with two infinite marquee rows.</t>
        </is>
      </c>
      <c r="K21" s="4"/>
      <c r="L21" t="inlineStr" s="4">
        <is>
          <t>Not Run</t>
        </is>
      </c>
      <c r="M21" t="inlineStr" s="4">
        <is>
          <t>P2</t>
        </is>
      </c>
      <c r="N21" t="inlineStr" s="4">
        <is>
          <t>Medium</t>
        </is>
      </c>
      <c r="O21" t="inlineStr" s="4">
        <is>
          <t>UI</t>
        </is>
      </c>
      <c r="P21" t="inlineStr" s="4">
        <is>
          <t>Staging / QA</t>
        </is>
      </c>
      <c r="Q21" t="inlineStr" s="4">
        <is>
          <t>Chrome desktop + Android Chrome unless specified</t>
        </is>
      </c>
      <c r="R21" t="inlineStr" s="4">
        <is>
          <t>/, /about</t>
        </is>
      </c>
      <c r="S21" t="inlineStr" s="4">
        <is>
          <t>Maybe</t>
        </is>
      </c>
      <c r="T21" t="inlineStr" s="4">
        <is>
          <t>Yes</t>
        </is>
      </c>
      <c r="U21" t="inlineStr" s="4">
        <is>
          <t>Codex QA Generator</t>
        </is>
      </c>
      <c r="V21" s="4"/>
      <c r="W21" s="4"/>
      <c r="X21" s="4"/>
      <c r="Y21" s="4"/>
    </row>
    <row r="22" ht="54" customHeight="1">
      <c r="A22" t="inlineStr" s="4">
        <is>
          <t>TC-HOME-006</t>
        </is>
      </c>
      <c r="B22" t="inlineStr" s="4">
        <is>
          <t>TS-HOME-001</t>
        </is>
      </c>
      <c r="C22" t="inlineStr" s="4">
        <is>
          <t>Public Home</t>
        </is>
      </c>
      <c r="D22" t="inlineStr" s="4">
        <is>
          <t>Homepage / Public Content</t>
        </is>
      </c>
      <c r="E22" t="inlineStr" s="4">
        <is>
          <t>Promo special videos autoplay muted</t>
        </is>
      </c>
      <c r="F22" t="inlineStr" s="4">
        <is>
          <t>Guest/User</t>
        </is>
      </c>
      <c r="G22" t="inlineStr" s="4">
        <is>
          <t>Public routes are accessible and content data exists as described.</t>
        </is>
      </c>
      <c r="H22" t="inlineStr" s="4">
        <is>
          <t>Active promo special videos configured</t>
        </is>
      </c>
      <c r="I22" t="inlineStr" s="4">
        <is>
          <t>1. Open the target public page.
2. Inspect visible sections and interactions.
3. Repeat on desktop and mobile where specified.</t>
        </is>
      </c>
      <c r="J22" t="inlineStr" s="4">
        <is>
          <t>Videos are rendered muted/autoplay per browser policy and each slot plays its own configured media.</t>
        </is>
      </c>
      <c r="K22" s="4"/>
      <c r="L22" t="inlineStr" s="4">
        <is>
          <t>Not Run</t>
        </is>
      </c>
      <c r="M22" t="inlineStr" s="4">
        <is>
          <t>P2</t>
        </is>
      </c>
      <c r="N22" t="inlineStr" s="4">
        <is>
          <t>Medium</t>
        </is>
      </c>
      <c r="O22" t="inlineStr" s="4">
        <is>
          <t>UI</t>
        </is>
      </c>
      <c r="P22" t="inlineStr" s="4">
        <is>
          <t>Staging / QA</t>
        </is>
      </c>
      <c r="Q22" t="inlineStr" s="4">
        <is>
          <t>Chrome desktop + Android Chrome unless specified</t>
        </is>
      </c>
      <c r="R22" t="inlineStr" s="4">
        <is>
          <t>/, /about</t>
        </is>
      </c>
      <c r="S22" t="inlineStr" s="4">
        <is>
          <t>Maybe</t>
        </is>
      </c>
      <c r="T22" t="inlineStr" s="4">
        <is>
          <t>Yes</t>
        </is>
      </c>
      <c r="U22" t="inlineStr" s="4">
        <is>
          <t>Codex QA Generator</t>
        </is>
      </c>
      <c r="V22" s="4"/>
      <c r="W22" s="4"/>
      <c r="X22" s="4"/>
      <c r="Y22" s="4"/>
    </row>
    <row r="23" ht="54" customHeight="1">
      <c r="A23" t="inlineStr" s="4">
        <is>
          <t>TC-HOME-007</t>
        </is>
      </c>
      <c r="B23" t="inlineStr" s="4">
        <is>
          <t>TS-HOME-001</t>
        </is>
      </c>
      <c r="C23" t="inlineStr" s="4">
        <is>
          <t>Public Home</t>
        </is>
      </c>
      <c r="D23" t="inlineStr" s="4">
        <is>
          <t>Homepage / Public Content</t>
        </is>
      </c>
      <c r="E23" t="inlineStr" s="4">
        <is>
          <t>Promo special three-image layout remains intentional on mobile</t>
        </is>
      </c>
      <c r="F23" t="inlineStr" s="4">
        <is>
          <t>Guest/User</t>
        </is>
      </c>
      <c r="G23" t="inlineStr" s="4">
        <is>
          <t>Public routes are accessible and content data exists as described.</t>
        </is>
      </c>
      <c r="H23" t="inlineStr" s="4">
        <is>
          <t>390x844 viewport with three promo images</t>
        </is>
      </c>
      <c r="I23" t="inlineStr" s="4">
        <is>
          <t>1. Open the target public page.
2. Inspect visible sections and interactions.
3. Repeat on desktop and mobile where specified.</t>
        </is>
      </c>
      <c r="J23" t="inlineStr" s="4">
        <is>
          <t>Two images appear on top and one wide image appears below, with badge visible and no collision.</t>
        </is>
      </c>
      <c r="K23" s="4"/>
      <c r="L23" t="inlineStr" s="4">
        <is>
          <t>Not Run</t>
        </is>
      </c>
      <c r="M23" t="inlineStr" s="4">
        <is>
          <t>P2</t>
        </is>
      </c>
      <c r="N23" t="inlineStr" s="4">
        <is>
          <t>Medium</t>
        </is>
      </c>
      <c r="O23" t="inlineStr" s="4">
        <is>
          <t>UI</t>
        </is>
      </c>
      <c r="P23" t="inlineStr" s="4">
        <is>
          <t>Staging / QA</t>
        </is>
      </c>
      <c r="Q23" t="inlineStr" s="4">
        <is>
          <t>Chrome desktop + Android Chrome unless specified</t>
        </is>
      </c>
      <c r="R23" t="inlineStr" s="4">
        <is>
          <t>/, /about</t>
        </is>
      </c>
      <c r="S23" t="inlineStr" s="4">
        <is>
          <t>Maybe</t>
        </is>
      </c>
      <c r="T23" t="inlineStr" s="4">
        <is>
          <t>Yes</t>
        </is>
      </c>
      <c r="U23" t="inlineStr" s="4">
        <is>
          <t>Codex QA Generator</t>
        </is>
      </c>
      <c r="V23" s="4"/>
      <c r="W23" s="4"/>
      <c r="X23" s="4"/>
      <c r="Y23" s="4"/>
    </row>
    <row r="24" ht="54" customHeight="1">
      <c r="A24" t="inlineStr" s="4">
        <is>
          <t>TC-HOME-008</t>
        </is>
      </c>
      <c r="B24" t="inlineStr" s="4">
        <is>
          <t>TS-HOME-001</t>
        </is>
      </c>
      <c r="C24" t="inlineStr" s="4">
        <is>
          <t>Public Home</t>
        </is>
      </c>
      <c r="D24" t="inlineStr" s="4">
        <is>
          <t>Homepage / Public Content</t>
        </is>
      </c>
      <c r="E24" t="inlineStr" s="4">
        <is>
          <t>Voucher promo click stores selected voucher context</t>
        </is>
      </c>
      <c r="F24" t="inlineStr" s="4">
        <is>
          <t>Guest/User</t>
        </is>
      </c>
      <c r="G24" t="inlineStr" s="4">
        <is>
          <t>Public routes are accessible and content data exists as described.</t>
        </is>
      </c>
      <c r="H24" t="inlineStr" s="4">
        <is>
          <t>Promo image linked to voucher</t>
        </is>
      </c>
      <c r="I24" t="inlineStr" s="4">
        <is>
          <t>1. Open the target public page.
2. Inspect visible sections and interactions.
3. Repeat on desktop and mobile where specified.</t>
        </is>
      </c>
      <c r="J24" t="inlineStr" s="4">
        <is>
          <t>User is routed to selected product or wisata listing and voucher is prefilled/applied at checkout.</t>
        </is>
      </c>
      <c r="K24" s="4"/>
      <c r="L24" t="inlineStr" s="4">
        <is>
          <t>Not Run</t>
        </is>
      </c>
      <c r="M24" t="inlineStr" s="4">
        <is>
          <t>P2</t>
        </is>
      </c>
      <c r="N24" t="inlineStr" s="4">
        <is>
          <t>Medium</t>
        </is>
      </c>
      <c r="O24" t="inlineStr" s="4">
        <is>
          <t>UI</t>
        </is>
      </c>
      <c r="P24" t="inlineStr" s="4">
        <is>
          <t>Staging / QA</t>
        </is>
      </c>
      <c r="Q24" t="inlineStr" s="4">
        <is>
          <t>Chrome desktop + Android Chrome unless specified</t>
        </is>
      </c>
      <c r="R24" t="inlineStr" s="4">
        <is>
          <t>/, /about</t>
        </is>
      </c>
      <c r="S24" t="inlineStr" s="4">
        <is>
          <t>Maybe</t>
        </is>
      </c>
      <c r="T24" t="inlineStr" s="4">
        <is>
          <t>Yes</t>
        </is>
      </c>
      <c r="U24" t="inlineStr" s="4">
        <is>
          <t>Codex QA Generator</t>
        </is>
      </c>
      <c r="V24" s="4"/>
      <c r="W24" s="4"/>
      <c r="X24" s="4"/>
      <c r="Y24" s="4"/>
    </row>
    <row r="25" ht="54" customHeight="1">
      <c r="A25" t="inlineStr" s="4">
        <is>
          <t>TC-HOME-009</t>
        </is>
      </c>
      <c r="B25" t="inlineStr" s="4">
        <is>
          <t>TS-HOME-001</t>
        </is>
      </c>
      <c r="C25" t="inlineStr" s="4">
        <is>
          <t>Public Home</t>
        </is>
      </c>
      <c r="D25" t="inlineStr" s="4">
        <is>
          <t>Homepage / Public Content</t>
        </is>
      </c>
      <c r="E25" t="inlineStr" s="4">
        <is>
          <t>Home category product sections show unavailable ticket copy</t>
        </is>
      </c>
      <c r="F25" t="inlineStr" s="4">
        <is>
          <t>Guest/User</t>
        </is>
      </c>
      <c r="G25" t="inlineStr" s="4">
        <is>
          <t>Public routes are accessible and content data exists as described.</t>
        </is>
      </c>
      <c r="H25" t="inlineStr" s="4">
        <is>
          <t>Destination without active ticket/price</t>
        </is>
      </c>
      <c r="I25" t="inlineStr" s="4">
        <is>
          <t>1. Open the target public page.
2. Inspect visible sections and interactions.
3. Repeat on desktop and mobile where specified.</t>
        </is>
      </c>
      <c r="J25" t="inlineStr" s="4">
        <is>
          <t>Card shows "Tiket belum tersedia" rather than ambiguous price text.</t>
        </is>
      </c>
      <c r="K25" s="4"/>
      <c r="L25" t="inlineStr" s="4">
        <is>
          <t>Not Run</t>
        </is>
      </c>
      <c r="M25" t="inlineStr" s="4">
        <is>
          <t>P2</t>
        </is>
      </c>
      <c r="N25" t="inlineStr" s="4">
        <is>
          <t>Medium</t>
        </is>
      </c>
      <c r="O25" t="inlineStr" s="4">
        <is>
          <t>UI</t>
        </is>
      </c>
      <c r="P25" t="inlineStr" s="4">
        <is>
          <t>Staging / QA</t>
        </is>
      </c>
      <c r="Q25" t="inlineStr" s="4">
        <is>
          <t>Chrome desktop + Android Chrome unless specified</t>
        </is>
      </c>
      <c r="R25" t="inlineStr" s="4">
        <is>
          <t>/, /about</t>
        </is>
      </c>
      <c r="S25" t="inlineStr" s="4">
        <is>
          <t>Maybe</t>
        </is>
      </c>
      <c r="T25" t="inlineStr" s="4">
        <is>
          <t>Yes</t>
        </is>
      </c>
      <c r="U25" t="inlineStr" s="4">
        <is>
          <t>Codex QA Generator</t>
        </is>
      </c>
      <c r="V25" s="4"/>
      <c r="W25" s="4"/>
      <c r="X25" s="4"/>
      <c r="Y25" s="4"/>
    </row>
    <row r="26" ht="54" customHeight="1">
      <c r="A26" t="inlineStr" s="4">
        <is>
          <t>TC-HOME-010</t>
        </is>
      </c>
      <c r="B26" t="inlineStr" s="4">
        <is>
          <t>TS-HOME-001</t>
        </is>
      </c>
      <c r="C26" t="inlineStr" s="4">
        <is>
          <t>Public Home</t>
        </is>
      </c>
      <c r="D26" t="inlineStr" s="4">
        <is>
          <t>Homepage / Public Content</t>
        </is>
      </c>
      <c r="E26" t="inlineStr" s="4">
        <is>
          <t>About page no longer exposes retired hotel/event wording</t>
        </is>
      </c>
      <c r="F26" t="inlineStr" s="4">
        <is>
          <t>Guest/User</t>
        </is>
      </c>
      <c r="G26" t="inlineStr" s="4">
        <is>
          <t>Public routes are accessible and content data exists as described.</t>
        </is>
      </c>
      <c r="H26" t="inlineStr" s="4">
        <is>
          <t>Open /about</t>
        </is>
      </c>
      <c r="I26" t="inlineStr" s="4">
        <is>
          <t>1. Open the target public page.
2. Inspect visible sections and interactions.
3. Repeat on desktop and mobile where specified.</t>
        </is>
      </c>
      <c r="J26" t="inlineStr" s="4">
        <is>
          <t>Copy is tourism/Indotix focused and does not advertise retired event/hotel modules.</t>
        </is>
      </c>
      <c r="K26" s="4"/>
      <c r="L26" t="inlineStr" s="4">
        <is>
          <t>Not Run</t>
        </is>
      </c>
      <c r="M26" t="inlineStr" s="4">
        <is>
          <t>P2</t>
        </is>
      </c>
      <c r="N26" t="inlineStr" s="4">
        <is>
          <t>Medium</t>
        </is>
      </c>
      <c r="O26" t="inlineStr" s="4">
        <is>
          <t>UI</t>
        </is>
      </c>
      <c r="P26" t="inlineStr" s="4">
        <is>
          <t>Staging / QA</t>
        </is>
      </c>
      <c r="Q26" t="inlineStr" s="4">
        <is>
          <t>Chrome desktop + Android Chrome unless specified</t>
        </is>
      </c>
      <c r="R26" t="inlineStr" s="4">
        <is>
          <t>/, /about</t>
        </is>
      </c>
      <c r="S26" t="inlineStr" s="4">
        <is>
          <t>Maybe</t>
        </is>
      </c>
      <c r="T26" t="inlineStr" s="4">
        <is>
          <t>Yes</t>
        </is>
      </c>
      <c r="U26" t="inlineStr" s="4">
        <is>
          <t>Codex QA Generator</t>
        </is>
      </c>
      <c r="V26" s="4"/>
      <c r="W26" s="4"/>
      <c r="X26" s="4"/>
      <c r="Y26" s="4"/>
    </row>
    <row r="27" ht="54" customHeight="1">
      <c r="A27" t="inlineStr" s="4">
        <is>
          <t>TC-CATALOG-001</t>
        </is>
      </c>
      <c r="B27" t="inlineStr" s="4">
        <is>
          <t>TS-CATALOG-001</t>
        </is>
      </c>
      <c r="C27" t="inlineStr" s="4">
        <is>
          <t>Wisata Catalog</t>
        </is>
      </c>
      <c r="D27" t="inlineStr" s="4">
        <is>
          <t>Search / Filter / Listing</t>
        </is>
      </c>
      <c r="E27" t="inlineStr" s="4">
        <is>
          <t>Catalog loads live wisata destinations</t>
        </is>
      </c>
      <c r="F27" t="inlineStr" s="4">
        <is>
          <t>Guest/User</t>
        </is>
      </c>
      <c r="G27" t="inlineStr" s="4">
        <is>
          <t>At least one wisata destination exists unless testing empty state.</t>
        </is>
      </c>
      <c r="H27" t="inlineStr" s="4">
        <is>
          <t>/wisata</t>
        </is>
      </c>
      <c r="I27" t="inlineStr" s="4">
        <is>
          <t>1. Open /wisata.
2. Apply the listed search/filter/navigation action.
3. Observe list content, route query state, and UI behavior.</t>
        </is>
      </c>
      <c r="J27" t="inlineStr" s="4">
        <is>
          <t>Live destinations are listed with image, title, location, rating/metadata where available, and ticket availability state.</t>
        </is>
      </c>
      <c r="K27" s="4"/>
      <c r="L27" t="inlineStr" s="4">
        <is>
          <t>Not Run</t>
        </is>
      </c>
      <c r="M27" t="inlineStr" s="4">
        <is>
          <t>P0</t>
        </is>
      </c>
      <c r="N27" t="inlineStr" s="4">
        <is>
          <t>High</t>
        </is>
      </c>
      <c r="O27" t="inlineStr" s="4">
        <is>
          <t>Functional</t>
        </is>
      </c>
      <c r="P27" t="inlineStr" s="4">
        <is>
          <t>Staging / QA</t>
        </is>
      </c>
      <c r="Q27" t="inlineStr" s="4">
        <is>
          <t>Chrome desktop + Android Chrome unless specified</t>
        </is>
      </c>
      <c r="R27" t="inlineStr" s="4">
        <is>
          <t>/wisata, /api/discovery/wisata, /api/products/wisata</t>
        </is>
      </c>
      <c r="S27" t="inlineStr" s="4">
        <is>
          <t>Maybe</t>
        </is>
      </c>
      <c r="T27" t="inlineStr" s="4">
        <is>
          <t>Yes</t>
        </is>
      </c>
      <c r="U27" t="inlineStr" s="4">
        <is>
          <t>Codex QA Generator</t>
        </is>
      </c>
      <c r="V27" s="4"/>
      <c r="W27" s="4"/>
      <c r="X27" s="4"/>
      <c r="Y27" s="4"/>
    </row>
    <row r="28" ht="54" customHeight="1">
      <c r="A28" t="inlineStr" s="4">
        <is>
          <t>TC-CATALOG-002</t>
        </is>
      </c>
      <c r="B28" t="inlineStr" s="4">
        <is>
          <t>TS-CATALOG-001</t>
        </is>
      </c>
      <c r="C28" t="inlineStr" s="4">
        <is>
          <t>Wisata Catalog</t>
        </is>
      </c>
      <c r="D28" t="inlineStr" s="4">
        <is>
          <t>Search / Filter / Listing</t>
        </is>
      </c>
      <c r="E28" t="inlineStr" s="4">
        <is>
          <t>Search filters by destination keyword</t>
        </is>
      </c>
      <c r="F28" t="inlineStr" s="4">
        <is>
          <t>Guest/User</t>
        </is>
      </c>
      <c r="G28" t="inlineStr" s="4">
        <is>
          <t>At least one wisata destination exists unless testing empty state.</t>
        </is>
      </c>
      <c r="H28" t="inlineStr" s="4">
        <is>
          <t>Keyword matching a destination</t>
        </is>
      </c>
      <c r="I28" t="inlineStr" s="4">
        <is>
          <t>1. Open /wisata.
2. Apply the listed search/filter/navigation action.
3. Observe list content, route query state, and UI behavior.</t>
        </is>
      </c>
      <c r="J28" t="inlineStr" s="4">
        <is>
          <t>Results are narrowed to matching live destinations without showing retired products.</t>
        </is>
      </c>
      <c r="K28" s="4"/>
      <c r="L28" t="inlineStr" s="4">
        <is>
          <t>Not Run</t>
        </is>
      </c>
      <c r="M28" t="inlineStr" s="4">
        <is>
          <t>P1</t>
        </is>
      </c>
      <c r="N28" t="inlineStr" s="4">
        <is>
          <t>Medium</t>
        </is>
      </c>
      <c r="O28" t="inlineStr" s="4">
        <is>
          <t>Functional</t>
        </is>
      </c>
      <c r="P28" t="inlineStr" s="4">
        <is>
          <t>Staging / QA</t>
        </is>
      </c>
      <c r="Q28" t="inlineStr" s="4">
        <is>
          <t>Chrome desktop + Android Chrome unless specified</t>
        </is>
      </c>
      <c r="R28" t="inlineStr" s="4">
        <is>
          <t>/wisata, /api/discovery/wisata, /api/products/wisata</t>
        </is>
      </c>
      <c r="S28" t="inlineStr" s="4">
        <is>
          <t>Maybe</t>
        </is>
      </c>
      <c r="T28" t="inlineStr" s="4">
        <is>
          <t>Yes</t>
        </is>
      </c>
      <c r="U28" t="inlineStr" s="4">
        <is>
          <t>Codex QA Generator</t>
        </is>
      </c>
      <c r="V28" s="4"/>
      <c r="W28" s="4"/>
      <c r="X28" s="4"/>
      <c r="Y28" s="4"/>
    </row>
    <row r="29" ht="54" customHeight="1">
      <c r="A29" t="inlineStr" s="4">
        <is>
          <t>TC-CATALOG-003</t>
        </is>
      </c>
      <c r="B29" t="inlineStr" s="4">
        <is>
          <t>TS-CATALOG-001</t>
        </is>
      </c>
      <c r="C29" t="inlineStr" s="4">
        <is>
          <t>Wisata Catalog</t>
        </is>
      </c>
      <c r="D29" t="inlineStr" s="4">
        <is>
          <t>Search / Filter / Listing</t>
        </is>
      </c>
      <c r="E29" t="inlineStr" s="4">
        <is>
          <t>Search with no result shows empty state</t>
        </is>
      </c>
      <c r="F29" t="inlineStr" s="4">
        <is>
          <t>Guest/User</t>
        </is>
      </c>
      <c r="G29" t="inlineStr" s="4">
        <is>
          <t>At least one wisata destination exists unless testing empty state.</t>
        </is>
      </c>
      <c r="H29" t="inlineStr" s="4">
        <is>
          <t>Random long keyword</t>
        </is>
      </c>
      <c r="I29" t="inlineStr" s="4">
        <is>
          <t>1. Open /wisata.
2. Apply the listed search/filter/navigation action.
3. Observe list content, route query state, and UI behavior.</t>
        </is>
      </c>
      <c r="J29" t="inlineStr" s="4">
        <is>
          <t>No-result state is shown with route remaining usable.</t>
        </is>
      </c>
      <c r="K29" s="4"/>
      <c r="L29" t="inlineStr" s="4">
        <is>
          <t>Not Run</t>
        </is>
      </c>
      <c r="M29" t="inlineStr" s="4">
        <is>
          <t>P1</t>
        </is>
      </c>
      <c r="N29" t="inlineStr" s="4">
        <is>
          <t>Medium</t>
        </is>
      </c>
      <c r="O29" t="inlineStr" s="4">
        <is>
          <t>Functional</t>
        </is>
      </c>
      <c r="P29" t="inlineStr" s="4">
        <is>
          <t>Staging / QA</t>
        </is>
      </c>
      <c r="Q29" t="inlineStr" s="4">
        <is>
          <t>Chrome desktop + Android Chrome unless specified</t>
        </is>
      </c>
      <c r="R29" t="inlineStr" s="4">
        <is>
          <t>/wisata, /api/discovery/wisata, /api/products/wisata</t>
        </is>
      </c>
      <c r="S29" t="inlineStr" s="4">
        <is>
          <t>Maybe</t>
        </is>
      </c>
      <c r="T29" t="inlineStr" s="4">
        <is>
          <t>Yes</t>
        </is>
      </c>
      <c r="U29" t="inlineStr" s="4">
        <is>
          <t>Codex QA Generator</t>
        </is>
      </c>
      <c r="V29" s="4"/>
      <c r="W29" s="4"/>
      <c r="X29" s="4"/>
      <c r="Y29" s="4"/>
    </row>
    <row r="30" ht="54" customHeight="1">
      <c r="A30" t="inlineStr" s="4">
        <is>
          <t>TC-CATALOG-004</t>
        </is>
      </c>
      <c r="B30" t="inlineStr" s="4">
        <is>
          <t>TS-CATALOG-001</t>
        </is>
      </c>
      <c r="C30" t="inlineStr" s="4">
        <is>
          <t>Wisata Catalog</t>
        </is>
      </c>
      <c r="D30" t="inlineStr" s="4">
        <is>
          <t>Search / Filter / Listing</t>
        </is>
      </c>
      <c r="E30" t="inlineStr" s="4">
        <is>
          <t>Category filter applies correctly</t>
        </is>
      </c>
      <c r="F30" t="inlineStr" s="4">
        <is>
          <t>Guest/User</t>
        </is>
      </c>
      <c r="G30" t="inlineStr" s="4">
        <is>
          <t>At least one wisata destination exists unless testing empty state.</t>
        </is>
      </c>
      <c r="H30" t="inlineStr" s="4">
        <is>
          <t>Tourism category such as Alam/Religi/Kuliner</t>
        </is>
      </c>
      <c r="I30" t="inlineStr" s="4">
        <is>
          <t>1. Open /wisata.
2. Apply the listed search/filter/navigation action.
3. Observe list content, route query state, and UI behavior.</t>
        </is>
      </c>
      <c r="J30" t="inlineStr" s="4">
        <is>
          <t>Only matching destinations are returned and filter state is visible.</t>
        </is>
      </c>
      <c r="K30" s="4"/>
      <c r="L30" t="inlineStr" s="4">
        <is>
          <t>Not Run</t>
        </is>
      </c>
      <c r="M30" t="inlineStr" s="4">
        <is>
          <t>P1</t>
        </is>
      </c>
      <c r="N30" t="inlineStr" s="4">
        <is>
          <t>Medium</t>
        </is>
      </c>
      <c r="O30" t="inlineStr" s="4">
        <is>
          <t>Functional</t>
        </is>
      </c>
      <c r="P30" t="inlineStr" s="4">
        <is>
          <t>Staging / QA</t>
        </is>
      </c>
      <c r="Q30" t="inlineStr" s="4">
        <is>
          <t>Chrome desktop + Android Chrome unless specified</t>
        </is>
      </c>
      <c r="R30" t="inlineStr" s="4">
        <is>
          <t>/wisata, /api/discovery/wisata, /api/products/wisata</t>
        </is>
      </c>
      <c r="S30" t="inlineStr" s="4">
        <is>
          <t>Maybe</t>
        </is>
      </c>
      <c r="T30" t="inlineStr" s="4">
        <is>
          <t>Yes</t>
        </is>
      </c>
      <c r="U30" t="inlineStr" s="4">
        <is>
          <t>Codex QA Generator</t>
        </is>
      </c>
      <c r="V30" s="4"/>
      <c r="W30" s="4"/>
      <c r="X30" s="4"/>
      <c r="Y30" s="4"/>
    </row>
    <row r="31" ht="54" customHeight="1">
      <c r="A31" t="inlineStr" s="4">
        <is>
          <t>TC-CATALOG-005</t>
        </is>
      </c>
      <c r="B31" t="inlineStr" s="4">
        <is>
          <t>TS-CATALOG-001</t>
        </is>
      </c>
      <c r="C31" t="inlineStr" s="4">
        <is>
          <t>Wisata Catalog</t>
        </is>
      </c>
      <c r="D31" t="inlineStr" s="4">
        <is>
          <t>Search / Filter / Listing</t>
        </is>
      </c>
      <c r="E31" t="inlineStr" s="4">
        <is>
          <t>Invalid filter does not crash listing</t>
        </is>
      </c>
      <c r="F31" t="inlineStr" s="4">
        <is>
          <t>Guest/User</t>
        </is>
      </c>
      <c r="G31" t="inlineStr" s="4">
        <is>
          <t>At least one wisata destination exists unless testing empty state.</t>
        </is>
      </c>
      <c r="H31" t="inlineStr" s="4">
        <is>
          <t>Unsupported category/sort query</t>
        </is>
      </c>
      <c r="I31" t="inlineStr" s="4">
        <is>
          <t>1. Open /wisata.
2. Apply the listed search/filter/navigation action.
3. Observe list content, route query state, and UI behavior.</t>
        </is>
      </c>
      <c r="J31" t="inlineStr" s="4">
        <is>
          <t>Listing falls back safely or shows empty state without 500.</t>
        </is>
      </c>
      <c r="K31" s="4"/>
      <c r="L31" t="inlineStr" s="4">
        <is>
          <t>Not Run</t>
        </is>
      </c>
      <c r="M31" t="inlineStr" s="4">
        <is>
          <t>P1</t>
        </is>
      </c>
      <c r="N31" t="inlineStr" s="4">
        <is>
          <t>Medium</t>
        </is>
      </c>
      <c r="O31" t="inlineStr" s="4">
        <is>
          <t>Functional</t>
        </is>
      </c>
      <c r="P31" t="inlineStr" s="4">
        <is>
          <t>Staging / QA</t>
        </is>
      </c>
      <c r="Q31" t="inlineStr" s="4">
        <is>
          <t>Chrome desktop + Android Chrome unless specified</t>
        </is>
      </c>
      <c r="R31" t="inlineStr" s="4">
        <is>
          <t>/wisata, /api/discovery/wisata, /api/products/wisata</t>
        </is>
      </c>
      <c r="S31" t="inlineStr" s="4">
        <is>
          <t>Maybe</t>
        </is>
      </c>
      <c r="T31" t="inlineStr" s="4">
        <is>
          <t>Yes</t>
        </is>
      </c>
      <c r="U31" t="inlineStr" s="4">
        <is>
          <t>Codex QA Generator</t>
        </is>
      </c>
      <c r="V31" s="4"/>
      <c r="W31" s="4"/>
      <c r="X31" s="4"/>
      <c r="Y31" s="4"/>
    </row>
    <row r="32" ht="54" customHeight="1">
      <c r="A32" t="inlineStr" s="4">
        <is>
          <t>TC-CATALOG-006</t>
        </is>
      </c>
      <c r="B32" t="inlineStr" s="4">
        <is>
          <t>TS-CATALOG-001</t>
        </is>
      </c>
      <c r="C32" t="inlineStr" s="4">
        <is>
          <t>Wisata Catalog</t>
        </is>
      </c>
      <c r="D32" t="inlineStr" s="4">
        <is>
          <t>Search / Filter / Listing</t>
        </is>
      </c>
      <c r="E32" t="inlineStr" s="4">
        <is>
          <t>Pagination/infinite list does not duplicate cards</t>
        </is>
      </c>
      <c r="F32" t="inlineStr" s="4">
        <is>
          <t>Guest/User</t>
        </is>
      </c>
      <c r="G32" t="inlineStr" s="4">
        <is>
          <t>At least one wisata destination exists unless testing empty state.</t>
        </is>
      </c>
      <c r="H32" t="inlineStr" s="4">
        <is>
          <t>Enough destination data for multiple pages</t>
        </is>
      </c>
      <c r="I32" t="inlineStr" s="4">
        <is>
          <t>1. Open /wisata.
2. Apply the listed search/filter/navigation action.
3. Observe list content, route query state, and UI behavior.</t>
        </is>
      </c>
      <c r="J32" t="inlineStr" s="4">
        <is>
          <t>Next page loads additional destinations without duplicate visible cards.</t>
        </is>
      </c>
      <c r="K32" s="4"/>
      <c r="L32" t="inlineStr" s="4">
        <is>
          <t>Not Run</t>
        </is>
      </c>
      <c r="M32" t="inlineStr" s="4">
        <is>
          <t>P1</t>
        </is>
      </c>
      <c r="N32" t="inlineStr" s="4">
        <is>
          <t>Medium</t>
        </is>
      </c>
      <c r="O32" t="inlineStr" s="4">
        <is>
          <t>Functional</t>
        </is>
      </c>
      <c r="P32" t="inlineStr" s="4">
        <is>
          <t>Staging / QA</t>
        </is>
      </c>
      <c r="Q32" t="inlineStr" s="4">
        <is>
          <t>Chrome desktop + Android Chrome unless specified</t>
        </is>
      </c>
      <c r="R32" t="inlineStr" s="4">
        <is>
          <t>/wisata, /api/discovery/wisata, /api/products/wisata</t>
        </is>
      </c>
      <c r="S32" t="inlineStr" s="4">
        <is>
          <t>Maybe</t>
        </is>
      </c>
      <c r="T32" t="inlineStr" s="4">
        <is>
          <t>Yes</t>
        </is>
      </c>
      <c r="U32" t="inlineStr" s="4">
        <is>
          <t>Codex QA Generator</t>
        </is>
      </c>
      <c r="V32" s="4"/>
      <c r="W32" s="4"/>
      <c r="X32" s="4"/>
      <c r="Y32" s="4"/>
    </row>
    <row r="33" ht="54" customHeight="1">
      <c r="A33" t="inlineStr" s="4">
        <is>
          <t>TC-CATALOG-007</t>
        </is>
      </c>
      <c r="B33" t="inlineStr" s="4">
        <is>
          <t>TS-CATALOG-001</t>
        </is>
      </c>
      <c r="C33" t="inlineStr" s="4">
        <is>
          <t>Wisata Catalog</t>
        </is>
      </c>
      <c r="D33" t="inlineStr" s="4">
        <is>
          <t>Search / Filter / Listing</t>
        </is>
      </c>
      <c r="E33" t="inlineStr" s="4">
        <is>
          <t>Long destination name wraps safely</t>
        </is>
      </c>
      <c r="F33" t="inlineStr" s="4">
        <is>
          <t>Guest/User</t>
        </is>
      </c>
      <c r="G33" t="inlineStr" s="4">
        <is>
          <t>At least one wisata destination exists unless testing empty state.</t>
        </is>
      </c>
      <c r="H33" t="inlineStr" s="4">
        <is>
          <t>Destination with long name</t>
        </is>
      </c>
      <c r="I33" t="inlineStr" s="4">
        <is>
          <t>1. Open /wisata.
2. Apply the listed search/filter/navigation action.
3. Observe list content, route query state, and UI behavior.</t>
        </is>
      </c>
      <c r="J33" t="inlineStr" s="4">
        <is>
          <t>Card height remains stable and title does not overlap price/action.</t>
        </is>
      </c>
      <c r="K33" s="4"/>
      <c r="L33" t="inlineStr" s="4">
        <is>
          <t>Not Run</t>
        </is>
      </c>
      <c r="M33" t="inlineStr" s="4">
        <is>
          <t>P1</t>
        </is>
      </c>
      <c r="N33" t="inlineStr" s="4">
        <is>
          <t>Medium</t>
        </is>
      </c>
      <c r="O33" t="inlineStr" s="4">
        <is>
          <t>Functional</t>
        </is>
      </c>
      <c r="P33" t="inlineStr" s="4">
        <is>
          <t>Staging / QA</t>
        </is>
      </c>
      <c r="Q33" t="inlineStr" s="4">
        <is>
          <t>Chrome desktop + Android Chrome unless specified</t>
        </is>
      </c>
      <c r="R33" t="inlineStr" s="4">
        <is>
          <t>/wisata, /api/discovery/wisata, /api/products/wisata</t>
        </is>
      </c>
      <c r="S33" t="inlineStr" s="4">
        <is>
          <t>Maybe</t>
        </is>
      </c>
      <c r="T33" t="inlineStr" s="4">
        <is>
          <t>Yes</t>
        </is>
      </c>
      <c r="U33" t="inlineStr" s="4">
        <is>
          <t>Codex QA Generator</t>
        </is>
      </c>
      <c r="V33" s="4"/>
      <c r="W33" s="4"/>
      <c r="X33" s="4"/>
      <c r="Y33" s="4"/>
    </row>
    <row r="34" ht="54" customHeight="1">
      <c r="A34" t="inlineStr" s="4">
        <is>
          <t>TC-CATALOG-008</t>
        </is>
      </c>
      <c r="B34" t="inlineStr" s="4">
        <is>
          <t>TS-CATALOG-001</t>
        </is>
      </c>
      <c r="C34" t="inlineStr" s="4">
        <is>
          <t>Wisata Catalog</t>
        </is>
      </c>
      <c r="D34" t="inlineStr" s="4">
        <is>
          <t>Search / Filter / Listing</t>
        </is>
      </c>
      <c r="E34" t="inlineStr" s="4">
        <is>
          <t>Clicking destination card opens detail page</t>
        </is>
      </c>
      <c r="F34" t="inlineStr" s="4">
        <is>
          <t>Guest/User</t>
        </is>
      </c>
      <c r="G34" t="inlineStr" s="4">
        <is>
          <t>At least one wisata destination exists unless testing empty state.</t>
        </is>
      </c>
      <c r="H34" t="inlineStr" s="4">
        <is>
          <t>Existing live destination slug</t>
        </is>
      </c>
      <c r="I34" t="inlineStr" s="4">
        <is>
          <t>1. Open /wisata.
2. Apply the listed search/filter/navigation action.
3. Observe list content, route query state, and UI behavior.</t>
        </is>
      </c>
      <c r="J34" t="inlineStr" s="4">
        <is>
          <t>User lands on /wisata/{destination} detail page.</t>
        </is>
      </c>
      <c r="K34" s="4"/>
      <c r="L34" t="inlineStr" s="4">
        <is>
          <t>Not Run</t>
        </is>
      </c>
      <c r="M34" t="inlineStr" s="4">
        <is>
          <t>P0</t>
        </is>
      </c>
      <c r="N34" t="inlineStr" s="4">
        <is>
          <t>High</t>
        </is>
      </c>
      <c r="O34" t="inlineStr" s="4">
        <is>
          <t>Functional</t>
        </is>
      </c>
      <c r="P34" t="inlineStr" s="4">
        <is>
          <t>Staging / QA</t>
        </is>
      </c>
      <c r="Q34" t="inlineStr" s="4">
        <is>
          <t>Chrome desktop + Android Chrome unless specified</t>
        </is>
      </c>
      <c r="R34" t="inlineStr" s="4">
        <is>
          <t>/wisata, /api/discovery/wisata, /api/products/wisata</t>
        </is>
      </c>
      <c r="S34" t="inlineStr" s="4">
        <is>
          <t>Maybe</t>
        </is>
      </c>
      <c r="T34" t="inlineStr" s="4">
        <is>
          <t>Yes</t>
        </is>
      </c>
      <c r="U34" t="inlineStr" s="4">
        <is>
          <t>Codex QA Generator</t>
        </is>
      </c>
      <c r="V34" s="4"/>
      <c r="W34" s="4"/>
      <c r="X34" s="4"/>
      <c r="Y34" s="4"/>
    </row>
    <row r="35" ht="54" customHeight="1">
      <c r="A35" t="inlineStr" s="4">
        <is>
          <t>TC-CATALOG-009</t>
        </is>
      </c>
      <c r="B35" t="inlineStr" s="4">
        <is>
          <t>TS-CATALOG-001</t>
        </is>
      </c>
      <c r="C35" t="inlineStr" s="4">
        <is>
          <t>Wisata Catalog</t>
        </is>
      </c>
      <c r="D35" t="inlineStr" s="4">
        <is>
          <t>Search / Filter / Listing</t>
        </is>
      </c>
      <c r="E35" t="inlineStr" s="4">
        <is>
          <t>Draft/inactive destination is hidden from public listing</t>
        </is>
      </c>
      <c r="F35" t="inlineStr" s="4">
        <is>
          <t>Guest/User</t>
        </is>
      </c>
      <c r="G35" t="inlineStr" s="4">
        <is>
          <t>At least one wisata destination exists unless testing empty state.</t>
        </is>
      </c>
      <c r="H35" t="inlineStr" s="4">
        <is>
          <t>Destination with draft/not live status</t>
        </is>
      </c>
      <c r="I35" t="inlineStr" s="4">
        <is>
          <t>1. Open /wisata.
2. Apply the listed search/filter/navigation action.
3. Observe list content, route query state, and UI behavior.</t>
        </is>
      </c>
      <c r="J35" t="inlineStr" s="4">
        <is>
          <t>Destination is not returned in public web/API catalog.</t>
        </is>
      </c>
      <c r="K35" s="4"/>
      <c r="L35" t="inlineStr" s="4">
        <is>
          <t>Not Run</t>
        </is>
      </c>
      <c r="M35" t="inlineStr" s="4">
        <is>
          <t>P0</t>
        </is>
      </c>
      <c r="N35" t="inlineStr" s="4">
        <is>
          <t>High</t>
        </is>
      </c>
      <c r="O35" t="inlineStr" s="4">
        <is>
          <t>Functional</t>
        </is>
      </c>
      <c r="P35" t="inlineStr" s="4">
        <is>
          <t>Staging / QA</t>
        </is>
      </c>
      <c r="Q35" t="inlineStr" s="4">
        <is>
          <t>Chrome desktop + Android Chrome unless specified</t>
        </is>
      </c>
      <c r="R35" t="inlineStr" s="4">
        <is>
          <t>/wisata, /api/discovery/wisata, /api/products/wisata</t>
        </is>
      </c>
      <c r="S35" t="inlineStr" s="4">
        <is>
          <t>Maybe</t>
        </is>
      </c>
      <c r="T35" t="inlineStr" s="4">
        <is>
          <t>Yes</t>
        </is>
      </c>
      <c r="U35" t="inlineStr" s="4">
        <is>
          <t>Codex QA Generator</t>
        </is>
      </c>
      <c r="V35" s="4"/>
      <c r="W35" s="4"/>
      <c r="X35" s="4"/>
      <c r="Y35" s="4"/>
    </row>
    <row r="36" ht="54" customHeight="1">
      <c r="A36" t="inlineStr" s="4">
        <is>
          <t>TC-CATALOG-010</t>
        </is>
      </c>
      <c r="B36" t="inlineStr" s="4">
        <is>
          <t>TS-CATALOG-001</t>
        </is>
      </c>
      <c r="C36" t="inlineStr" s="4">
        <is>
          <t>Wisata Catalog</t>
        </is>
      </c>
      <c r="D36" t="inlineStr" s="4">
        <is>
          <t>Search / Filter / Listing</t>
        </is>
      </c>
      <c r="E36" t="inlineStr" s="4">
        <is>
          <t>Catalog mobile filter/search remains usable</t>
        </is>
      </c>
      <c r="F36" t="inlineStr" s="4">
        <is>
          <t>Guest/User</t>
        </is>
      </c>
      <c r="G36" t="inlineStr" s="4">
        <is>
          <t>At least one wisata destination exists unless testing empty state.</t>
        </is>
      </c>
      <c r="H36" t="inlineStr" s="4">
        <is>
          <t>390x844 viewport</t>
        </is>
      </c>
      <c r="I36" t="inlineStr" s="4">
        <is>
          <t>1. Open /wisata.
2. Apply the listed search/filter/navigation action.
3. Observe list content, route query state, and UI behavior.</t>
        </is>
      </c>
      <c r="J36" t="inlineStr" s="4">
        <is>
          <t>Search/filter controls fit viewport and cards are tap-friendly.</t>
        </is>
      </c>
      <c r="K36" s="4"/>
      <c r="L36" t="inlineStr" s="4">
        <is>
          <t>Not Run</t>
        </is>
      </c>
      <c r="M36" t="inlineStr" s="4">
        <is>
          <t>P1</t>
        </is>
      </c>
      <c r="N36" t="inlineStr" s="4">
        <is>
          <t>Medium</t>
        </is>
      </c>
      <c r="O36" t="inlineStr" s="4">
        <is>
          <t>Functional</t>
        </is>
      </c>
      <c r="P36" t="inlineStr" s="4">
        <is>
          <t>Staging / QA</t>
        </is>
      </c>
      <c r="Q36" t="inlineStr" s="4">
        <is>
          <t>Chrome desktop + Android Chrome unless specified</t>
        </is>
      </c>
      <c r="R36" t="inlineStr" s="4">
        <is>
          <t>/wisata, /api/discovery/wisata, /api/products/wisata</t>
        </is>
      </c>
      <c r="S36" t="inlineStr" s="4">
        <is>
          <t>Maybe</t>
        </is>
      </c>
      <c r="T36" t="inlineStr" s="4">
        <is>
          <t>Yes</t>
        </is>
      </c>
      <c r="U36" t="inlineStr" s="4">
        <is>
          <t>Codex QA Generator</t>
        </is>
      </c>
      <c r="V36" s="4"/>
      <c r="W36" s="4"/>
      <c r="X36" s="4"/>
      <c r="Y36" s="4"/>
    </row>
    <row r="37" ht="54" customHeight="1">
      <c r="A37" t="inlineStr" s="4">
        <is>
          <t>TC-WISATA-DETAIL-001</t>
        </is>
      </c>
      <c r="B37" t="inlineStr" s="4">
        <is>
          <t>TS-WISATA-DETAIL-001</t>
        </is>
      </c>
      <c r="C37" t="inlineStr" s="4">
        <is>
          <t>Wisata Detail</t>
        </is>
      </c>
      <c r="D37" t="inlineStr" s="4">
        <is>
          <t>Detail / Ticket Selection</t>
        </is>
      </c>
      <c r="E37" t="inlineStr" s="4">
        <is>
          <t>Open valid destination detail</t>
        </is>
      </c>
      <c r="F37" t="inlineStr" s="4">
        <is>
          <t>Guest/User</t>
        </is>
      </c>
      <c r="G37" t="inlineStr" s="4">
        <is>
          <t>Destination data exists for the test condition.</t>
        </is>
      </c>
      <c r="H37" t="inlineStr" s="4">
        <is>
          <t>Live destination slug</t>
        </is>
      </c>
      <c r="I37" t="inlineStr" s="4">
        <is>
          <t>1. Open a wisata detail page.
2. Inspect ticket/detail information.
3. Perform the specified selection or navigation.
4. Observe result.</t>
        </is>
      </c>
      <c r="J37" t="inlineStr" s="4">
        <is>
          <t>Detail page shows images, address, description, map/info, ticket list, and CTA.</t>
        </is>
      </c>
      <c r="K37" s="4"/>
      <c r="L37" t="inlineStr" s="4">
        <is>
          <t>Not Run</t>
        </is>
      </c>
      <c r="M37" t="inlineStr" s="4">
        <is>
          <t>P0</t>
        </is>
      </c>
      <c r="N37" t="inlineStr" s="4">
        <is>
          <t>High</t>
        </is>
      </c>
      <c r="O37" t="inlineStr" s="4">
        <is>
          <t>Functional</t>
        </is>
      </c>
      <c r="P37" t="inlineStr" s="4">
        <is>
          <t>Staging / QA</t>
        </is>
      </c>
      <c r="Q37" t="inlineStr" s="4">
        <is>
          <t>Chrome desktop + Android Chrome unless specified</t>
        </is>
      </c>
      <c r="R37" t="inlineStr" s="4">
        <is>
          <t>/wisata/{destination}</t>
        </is>
      </c>
      <c r="S37" t="inlineStr" s="4">
        <is>
          <t>Maybe</t>
        </is>
      </c>
      <c r="T37" t="inlineStr" s="4">
        <is>
          <t>Yes</t>
        </is>
      </c>
      <c r="U37" t="inlineStr" s="4">
        <is>
          <t>Codex QA Generator</t>
        </is>
      </c>
      <c r="V37" s="4"/>
      <c r="W37" s="4"/>
      <c r="X37" s="4"/>
      <c r="Y37" s="4"/>
    </row>
    <row r="38" ht="54" customHeight="1">
      <c r="A38" t="inlineStr" s="4">
        <is>
          <t>TC-WISATA-DETAIL-002</t>
        </is>
      </c>
      <c r="B38" t="inlineStr" s="4">
        <is>
          <t>TS-WISATA-DETAIL-001</t>
        </is>
      </c>
      <c r="C38" t="inlineStr" s="4">
        <is>
          <t>Wisata Detail</t>
        </is>
      </c>
      <c r="D38" t="inlineStr" s="4">
        <is>
          <t>Detail / Ticket Selection</t>
        </is>
      </c>
      <c r="E38" t="inlineStr" s="4">
        <is>
          <t>Invalid destination slug returns safe 404</t>
        </is>
      </c>
      <c r="F38" t="inlineStr" s="4">
        <is>
          <t>Guest/User</t>
        </is>
      </c>
      <c r="G38" t="inlineStr" s="4">
        <is>
          <t>Destination data exists for the test condition.</t>
        </is>
      </c>
      <c r="H38" t="inlineStr" s="4">
        <is>
          <t>Unknown slug</t>
        </is>
      </c>
      <c r="I38" t="inlineStr" s="4">
        <is>
          <t>1. Open a wisata detail page.
2. Inspect ticket/detail information.
3. Perform the specified selection or navigation.
4. Observe result.</t>
        </is>
      </c>
      <c r="J38" t="inlineStr" s="4">
        <is>
          <t>Application returns not found page without stack trace.</t>
        </is>
      </c>
      <c r="K38" s="4"/>
      <c r="L38" t="inlineStr" s="4">
        <is>
          <t>Not Run</t>
        </is>
      </c>
      <c r="M38" t="inlineStr" s="4">
        <is>
          <t>P1</t>
        </is>
      </c>
      <c r="N38" t="inlineStr" s="4">
        <is>
          <t>Medium</t>
        </is>
      </c>
      <c r="O38" t="inlineStr" s="4">
        <is>
          <t>Functional</t>
        </is>
      </c>
      <c r="P38" t="inlineStr" s="4">
        <is>
          <t>Staging / QA</t>
        </is>
      </c>
      <c r="Q38" t="inlineStr" s="4">
        <is>
          <t>Chrome desktop + Android Chrome unless specified</t>
        </is>
      </c>
      <c r="R38" t="inlineStr" s="4">
        <is>
          <t>/wisata/{destination}</t>
        </is>
      </c>
      <c r="S38" t="inlineStr" s="4">
        <is>
          <t>Maybe</t>
        </is>
      </c>
      <c r="T38" t="inlineStr" s="4">
        <is>
          <t>Yes</t>
        </is>
      </c>
      <c r="U38" t="inlineStr" s="4">
        <is>
          <t>Codex QA Generator</t>
        </is>
      </c>
      <c r="V38" s="4"/>
      <c r="W38" s="4"/>
      <c r="X38" s="4"/>
      <c r="Y38" s="4"/>
    </row>
    <row r="39" ht="54" customHeight="1">
      <c r="A39" t="inlineStr" s="4">
        <is>
          <t>TC-WISATA-DETAIL-003</t>
        </is>
      </c>
      <c r="B39" t="inlineStr" s="4">
        <is>
          <t>TS-WISATA-DETAIL-001</t>
        </is>
      </c>
      <c r="C39" t="inlineStr" s="4">
        <is>
          <t>Wisata Detail</t>
        </is>
      </c>
      <c r="D39" t="inlineStr" s="4">
        <is>
          <t>Detail / Ticket Selection</t>
        </is>
      </c>
      <c r="E39" t="inlineStr" s="4">
        <is>
          <t>Ticket list shows active tickets only</t>
        </is>
      </c>
      <c r="F39" t="inlineStr" s="4">
        <is>
          <t>Guest/User</t>
        </is>
      </c>
      <c r="G39" t="inlineStr" s="4">
        <is>
          <t>Destination data exists for the test condition.</t>
        </is>
      </c>
      <c r="H39" t="inlineStr" s="4">
        <is>
          <t>Destination with active/inactive tickets</t>
        </is>
      </c>
      <c r="I39" t="inlineStr" s="4">
        <is>
          <t>1. Open a wisata detail page.
2. Inspect ticket/detail information.
3. Perform the specified selection or navigation.
4. Observe result.</t>
        </is>
      </c>
      <c r="J39" t="inlineStr" s="4">
        <is>
          <t>Inactive/closed tickets are not purchasable.</t>
        </is>
      </c>
      <c r="K39" s="4"/>
      <c r="L39" t="inlineStr" s="4">
        <is>
          <t>Not Run</t>
        </is>
      </c>
      <c r="M39" t="inlineStr" s="4">
        <is>
          <t>P1</t>
        </is>
      </c>
      <c r="N39" t="inlineStr" s="4">
        <is>
          <t>Medium</t>
        </is>
      </c>
      <c r="O39" t="inlineStr" s="4">
        <is>
          <t>Functional</t>
        </is>
      </c>
      <c r="P39" t="inlineStr" s="4">
        <is>
          <t>Staging / QA</t>
        </is>
      </c>
      <c r="Q39" t="inlineStr" s="4">
        <is>
          <t>Chrome desktop + Android Chrome unless specified</t>
        </is>
      </c>
      <c r="R39" t="inlineStr" s="4">
        <is>
          <t>/wisata/{destination}</t>
        </is>
      </c>
      <c r="S39" t="inlineStr" s="4">
        <is>
          <t>Maybe</t>
        </is>
      </c>
      <c r="T39" t="inlineStr" s="4">
        <is>
          <t>Yes</t>
        </is>
      </c>
      <c r="U39" t="inlineStr" s="4">
        <is>
          <t>Codex QA Generator</t>
        </is>
      </c>
      <c r="V39" s="4"/>
      <c r="W39" s="4"/>
      <c r="X39" s="4"/>
      <c r="Y39" s="4"/>
    </row>
    <row r="40" ht="54" customHeight="1">
      <c r="A40" t="inlineStr" s="4">
        <is>
          <t>TC-WISATA-DETAIL-004</t>
        </is>
      </c>
      <c r="B40" t="inlineStr" s="4">
        <is>
          <t>TS-WISATA-DETAIL-001</t>
        </is>
      </c>
      <c r="C40" t="inlineStr" s="4">
        <is>
          <t>Wisata Detail</t>
        </is>
      </c>
      <c r="D40" t="inlineStr" s="4">
        <is>
          <t>Detail / Ticket Selection</t>
        </is>
      </c>
      <c r="E40" t="inlineStr" s="4">
        <is>
          <t>Package ticket shows included ticket information</t>
        </is>
      </c>
      <c r="F40" t="inlineStr" s="4">
        <is>
          <t>Guest/User</t>
        </is>
      </c>
      <c r="G40" t="inlineStr" s="4">
        <is>
          <t>Destination data exists for the test condition.</t>
        </is>
      </c>
      <c r="H40" t="inlineStr" s="4">
        <is>
          <t>Package ticket configured</t>
        </is>
      </c>
      <c r="I40" t="inlineStr" s="4">
        <is>
          <t>1. Open a wisata detail page.
2. Inspect ticket/detail information.
3. Perform the specified selection or navigation.
4. Observe result.</t>
        </is>
      </c>
      <c r="J40" t="inlineStr" s="4">
        <is>
          <t>Package composition is clear enough for the buyer before checkout.</t>
        </is>
      </c>
      <c r="K40" s="4"/>
      <c r="L40" t="inlineStr" s="4">
        <is>
          <t>Not Run</t>
        </is>
      </c>
      <c r="M40" t="inlineStr" s="4">
        <is>
          <t>P1</t>
        </is>
      </c>
      <c r="N40" t="inlineStr" s="4">
        <is>
          <t>Medium</t>
        </is>
      </c>
      <c r="O40" t="inlineStr" s="4">
        <is>
          <t>Functional</t>
        </is>
      </c>
      <c r="P40" t="inlineStr" s="4">
        <is>
          <t>Staging / QA</t>
        </is>
      </c>
      <c r="Q40" t="inlineStr" s="4">
        <is>
          <t>Chrome desktop + Android Chrome unless specified</t>
        </is>
      </c>
      <c r="R40" t="inlineStr" s="4">
        <is>
          <t>/wisata/{destination}</t>
        </is>
      </c>
      <c r="S40" t="inlineStr" s="4">
        <is>
          <t>Maybe</t>
        </is>
      </c>
      <c r="T40" t="inlineStr" s="4">
        <is>
          <t>Yes</t>
        </is>
      </c>
      <c r="U40" t="inlineStr" s="4">
        <is>
          <t>Codex QA Generator</t>
        </is>
      </c>
      <c r="V40" s="4"/>
      <c r="W40" s="4"/>
      <c r="X40" s="4"/>
      <c r="Y40" s="4"/>
    </row>
    <row r="41" ht="54" customHeight="1">
      <c r="A41" t="inlineStr" s="4">
        <is>
          <t>TC-WISATA-DETAIL-005</t>
        </is>
      </c>
      <c r="B41" t="inlineStr" s="4">
        <is>
          <t>TS-WISATA-DETAIL-001</t>
        </is>
      </c>
      <c r="C41" t="inlineStr" s="4">
        <is>
          <t>Wisata Detail</t>
        </is>
      </c>
      <c r="D41" t="inlineStr" s="4">
        <is>
          <t>Detail / Ticket Selection</t>
        </is>
      </c>
      <c r="E41" t="inlineStr" s="4">
        <is>
          <t>Minimum order is enforced in selector</t>
        </is>
      </c>
      <c r="F41" t="inlineStr" s="4">
        <is>
          <t>Guest/User</t>
        </is>
      </c>
      <c r="G41" t="inlineStr" s="4">
        <is>
          <t>Destination data exists for the test condition.</t>
        </is>
      </c>
      <c r="H41" t="inlineStr" s="4">
        <is>
          <t>Ticket min_order &gt; 1</t>
        </is>
      </c>
      <c r="I41" t="inlineStr" s="4">
        <is>
          <t>1. Open a wisata detail page.
2. Inspect ticket/detail information.
3. Perform the specified selection or navigation.
4. Observe result.</t>
        </is>
      </c>
      <c r="J41" t="inlineStr" s="4">
        <is>
          <t>User cannot proceed below minimum and helper/validation explains the minimum.</t>
        </is>
      </c>
      <c r="K41" s="4"/>
      <c r="L41" t="inlineStr" s="4">
        <is>
          <t>Not Run</t>
        </is>
      </c>
      <c r="M41" t="inlineStr" s="4">
        <is>
          <t>P1</t>
        </is>
      </c>
      <c r="N41" t="inlineStr" s="4">
        <is>
          <t>Medium</t>
        </is>
      </c>
      <c r="O41" t="inlineStr" s="4">
        <is>
          <t>Functional</t>
        </is>
      </c>
      <c r="P41" t="inlineStr" s="4">
        <is>
          <t>Staging / QA</t>
        </is>
      </c>
      <c r="Q41" t="inlineStr" s="4">
        <is>
          <t>Chrome desktop + Android Chrome unless specified</t>
        </is>
      </c>
      <c r="R41" t="inlineStr" s="4">
        <is>
          <t>/wisata/{destination}</t>
        </is>
      </c>
      <c r="S41" t="inlineStr" s="4">
        <is>
          <t>Maybe</t>
        </is>
      </c>
      <c r="T41" t="inlineStr" s="4">
        <is>
          <t>Yes</t>
        </is>
      </c>
      <c r="U41" t="inlineStr" s="4">
        <is>
          <t>Codex QA Generator</t>
        </is>
      </c>
      <c r="V41" s="4"/>
      <c r="W41" s="4"/>
      <c r="X41" s="4"/>
      <c r="Y41" s="4"/>
    </row>
    <row r="42" ht="54" customHeight="1">
      <c r="A42" t="inlineStr" s="4">
        <is>
          <t>TC-WISATA-DETAIL-006</t>
        </is>
      </c>
      <c r="B42" t="inlineStr" s="4">
        <is>
          <t>TS-WISATA-DETAIL-001</t>
        </is>
      </c>
      <c r="C42" t="inlineStr" s="4">
        <is>
          <t>Wisata Detail</t>
        </is>
      </c>
      <c r="D42" t="inlineStr" s="4">
        <is>
          <t>Detail / Ticket Selection</t>
        </is>
      </c>
      <c r="E42" t="inlineStr" s="4">
        <is>
          <t>Maximum order is enforced in selector</t>
        </is>
      </c>
      <c r="F42" t="inlineStr" s="4">
        <is>
          <t>Guest/User</t>
        </is>
      </c>
      <c r="G42" t="inlineStr" s="4">
        <is>
          <t>Destination data exists for the test condition.</t>
        </is>
      </c>
      <c r="H42" t="inlineStr" s="4">
        <is>
          <t>Ticket max_order configured</t>
        </is>
      </c>
      <c r="I42" t="inlineStr" s="4">
        <is>
          <t>1. Open a wisata detail page.
2. Inspect ticket/detail information.
3. Perform the specified selection or navigation.
4. Observe result.</t>
        </is>
      </c>
      <c r="J42" t="inlineStr" s="4">
        <is>
          <t>User cannot exceed ticket maximum order limit.</t>
        </is>
      </c>
      <c r="K42" s="4"/>
      <c r="L42" t="inlineStr" s="4">
        <is>
          <t>Not Run</t>
        </is>
      </c>
      <c r="M42" t="inlineStr" s="4">
        <is>
          <t>P1</t>
        </is>
      </c>
      <c r="N42" t="inlineStr" s="4">
        <is>
          <t>Medium</t>
        </is>
      </c>
      <c r="O42" t="inlineStr" s="4">
        <is>
          <t>Functional</t>
        </is>
      </c>
      <c r="P42" t="inlineStr" s="4">
        <is>
          <t>Staging / QA</t>
        </is>
      </c>
      <c r="Q42" t="inlineStr" s="4">
        <is>
          <t>Chrome desktop + Android Chrome unless specified</t>
        </is>
      </c>
      <c r="R42" t="inlineStr" s="4">
        <is>
          <t>/wisata/{destination}</t>
        </is>
      </c>
      <c r="S42" t="inlineStr" s="4">
        <is>
          <t>Maybe</t>
        </is>
      </c>
      <c r="T42" t="inlineStr" s="4">
        <is>
          <t>Yes</t>
        </is>
      </c>
      <c r="U42" t="inlineStr" s="4">
        <is>
          <t>Codex QA Generator</t>
        </is>
      </c>
      <c r="V42" s="4"/>
      <c r="W42" s="4"/>
      <c r="X42" s="4"/>
      <c r="Y42" s="4"/>
    </row>
    <row r="43" ht="54" customHeight="1">
      <c r="A43" t="inlineStr" s="4">
        <is>
          <t>TC-WISATA-DETAIL-007</t>
        </is>
      </c>
      <c r="B43" t="inlineStr" s="4">
        <is>
          <t>TS-WISATA-DETAIL-001</t>
        </is>
      </c>
      <c r="C43" t="inlineStr" s="4">
        <is>
          <t>Wisata Detail</t>
        </is>
      </c>
      <c r="D43" t="inlineStr" s="4">
        <is>
          <t>Detail / Ticket Selection</t>
        </is>
      </c>
      <c r="E43" t="inlineStr" s="4">
        <is>
          <t>Unavailable price shows ticket unavailable</t>
        </is>
      </c>
      <c r="F43" t="inlineStr" s="4">
        <is>
          <t>Guest/User</t>
        </is>
      </c>
      <c r="G43" t="inlineStr" s="4">
        <is>
          <t>Destination data exists for the test condition.</t>
        </is>
      </c>
      <c r="H43" t="inlineStr" s="4">
        <is>
          <t>Destination without ticket price</t>
        </is>
      </c>
      <c r="I43" t="inlineStr" s="4">
        <is>
          <t>1. Open a wisata detail page.
2. Inspect ticket/detail information.
3. Perform the specified selection or navigation.
4. Observe result.</t>
        </is>
      </c>
      <c r="J43" t="inlineStr" s="4">
        <is>
          <t>UI says ticket not available and disables invalid purchase action.</t>
        </is>
      </c>
      <c r="K43" s="4"/>
      <c r="L43" t="inlineStr" s="4">
        <is>
          <t>Not Run</t>
        </is>
      </c>
      <c r="M43" t="inlineStr" s="4">
        <is>
          <t>P1</t>
        </is>
      </c>
      <c r="N43" t="inlineStr" s="4">
        <is>
          <t>Medium</t>
        </is>
      </c>
      <c r="O43" t="inlineStr" s="4">
        <is>
          <t>Functional</t>
        </is>
      </c>
      <c r="P43" t="inlineStr" s="4">
        <is>
          <t>Staging / QA</t>
        </is>
      </c>
      <c r="Q43" t="inlineStr" s="4">
        <is>
          <t>Chrome desktop + Android Chrome unless specified</t>
        </is>
      </c>
      <c r="R43" t="inlineStr" s="4">
        <is>
          <t>/wisata/{destination}</t>
        </is>
      </c>
      <c r="S43" t="inlineStr" s="4">
        <is>
          <t>Maybe</t>
        </is>
      </c>
      <c r="T43" t="inlineStr" s="4">
        <is>
          <t>Yes</t>
        </is>
      </c>
      <c r="U43" t="inlineStr" s="4">
        <is>
          <t>Codex QA Generator</t>
        </is>
      </c>
      <c r="V43" s="4"/>
      <c r="W43" s="4"/>
      <c r="X43" s="4"/>
      <c r="Y43" s="4"/>
    </row>
    <row r="44" ht="54" customHeight="1">
      <c r="A44" t="inlineStr" s="4">
        <is>
          <t>TC-WISATA-DETAIL-008</t>
        </is>
      </c>
      <c r="B44" t="inlineStr" s="4">
        <is>
          <t>TS-WISATA-DETAIL-001</t>
        </is>
      </c>
      <c r="C44" t="inlineStr" s="4">
        <is>
          <t>Wisata Detail</t>
        </is>
      </c>
      <c r="D44" t="inlineStr" s="4">
        <is>
          <t>Detail / Ticket Selection</t>
        </is>
      </c>
      <c r="E44" t="inlineStr" s="4">
        <is>
          <t>Review summary loads active wisata reviews</t>
        </is>
      </c>
      <c r="F44" t="inlineStr" s="4">
        <is>
          <t>Guest/User</t>
        </is>
      </c>
      <c r="G44" t="inlineStr" s="4">
        <is>
          <t>Destination data exists for the test condition.</t>
        </is>
      </c>
      <c r="H44" t="inlineStr" s="4">
        <is>
          <t>Destination with approved reviews</t>
        </is>
      </c>
      <c r="I44" t="inlineStr" s="4">
        <is>
          <t>1. Open a wisata detail page.
2. Inspect ticket/detail information.
3. Perform the specified selection or navigation.
4. Observe result.</t>
        </is>
      </c>
      <c r="J44" t="inlineStr" s="4">
        <is>
          <t>Review list/summary is visible and does not expose hidden review content.</t>
        </is>
      </c>
      <c r="K44" s="4"/>
      <c r="L44" t="inlineStr" s="4">
        <is>
          <t>Not Run</t>
        </is>
      </c>
      <c r="M44" t="inlineStr" s="4">
        <is>
          <t>P1</t>
        </is>
      </c>
      <c r="N44" t="inlineStr" s="4">
        <is>
          <t>Medium</t>
        </is>
      </c>
      <c r="O44" t="inlineStr" s="4">
        <is>
          <t>Functional</t>
        </is>
      </c>
      <c r="P44" t="inlineStr" s="4">
        <is>
          <t>Staging / QA</t>
        </is>
      </c>
      <c r="Q44" t="inlineStr" s="4">
        <is>
          <t>Chrome desktop + Android Chrome unless specified</t>
        </is>
      </c>
      <c r="R44" t="inlineStr" s="4">
        <is>
          <t>/wisata/{destination}</t>
        </is>
      </c>
      <c r="S44" t="inlineStr" s="4">
        <is>
          <t>Maybe</t>
        </is>
      </c>
      <c r="T44" t="inlineStr" s="4">
        <is>
          <t>Yes</t>
        </is>
      </c>
      <c r="U44" t="inlineStr" s="4">
        <is>
          <t>Codex QA Generator</t>
        </is>
      </c>
      <c r="V44" s="4"/>
      <c r="W44" s="4"/>
      <c r="X44" s="4"/>
      <c r="Y44" s="4"/>
    </row>
    <row r="45" ht="54" customHeight="1">
      <c r="A45" t="inlineStr" s="4">
        <is>
          <t>TC-WISATA-DETAIL-009</t>
        </is>
      </c>
      <c r="B45" t="inlineStr" s="4">
        <is>
          <t>TS-WISATA-DETAIL-001</t>
        </is>
      </c>
      <c r="C45" t="inlineStr" s="4">
        <is>
          <t>Wisata Detail</t>
        </is>
      </c>
      <c r="D45" t="inlineStr" s="4">
        <is>
          <t>Detail / Ticket Selection</t>
        </is>
      </c>
      <c r="E45" t="inlineStr" s="4">
        <is>
          <t>Gallery images maintain aspect ratio on mobile</t>
        </is>
      </c>
      <c r="F45" t="inlineStr" s="4">
        <is>
          <t>Guest/User</t>
        </is>
      </c>
      <c r="G45" t="inlineStr" s="4">
        <is>
          <t>Destination data exists for the test condition.</t>
        </is>
      </c>
      <c r="H45" t="inlineStr" s="4">
        <is>
          <t>390x844 viewport</t>
        </is>
      </c>
      <c r="I45" t="inlineStr" s="4">
        <is>
          <t>1. Open a wisata detail page.
2. Inspect ticket/detail information.
3. Perform the specified selection or navigation.
4. Observe result.</t>
        </is>
      </c>
      <c r="J45" t="inlineStr" s="4">
        <is>
          <t>Images are not stretched and no horizontal overflow occurs.</t>
        </is>
      </c>
      <c r="K45" s="4"/>
      <c r="L45" t="inlineStr" s="4">
        <is>
          <t>Not Run</t>
        </is>
      </c>
      <c r="M45" t="inlineStr" s="4">
        <is>
          <t>P1</t>
        </is>
      </c>
      <c r="N45" t="inlineStr" s="4">
        <is>
          <t>Medium</t>
        </is>
      </c>
      <c r="O45" t="inlineStr" s="4">
        <is>
          <t>Functional</t>
        </is>
      </c>
      <c r="P45" t="inlineStr" s="4">
        <is>
          <t>Staging / QA</t>
        </is>
      </c>
      <c r="Q45" t="inlineStr" s="4">
        <is>
          <t>Chrome desktop + Android Chrome unless specified</t>
        </is>
      </c>
      <c r="R45" t="inlineStr" s="4">
        <is>
          <t>/wisata/{destination}</t>
        </is>
      </c>
      <c r="S45" t="inlineStr" s="4">
        <is>
          <t>Maybe</t>
        </is>
      </c>
      <c r="T45" t="inlineStr" s="4">
        <is>
          <t>Yes</t>
        </is>
      </c>
      <c r="U45" t="inlineStr" s="4">
        <is>
          <t>Codex QA Generator</t>
        </is>
      </c>
      <c r="V45" s="4"/>
      <c r="W45" s="4"/>
      <c r="X45" s="4"/>
      <c r="Y45" s="4"/>
    </row>
    <row r="46" ht="54" customHeight="1">
      <c r="A46" t="inlineStr" s="4">
        <is>
          <t>TC-WISATA-DETAIL-010</t>
        </is>
      </c>
      <c r="B46" t="inlineStr" s="4">
        <is>
          <t>TS-WISATA-DETAIL-001</t>
        </is>
      </c>
      <c r="C46" t="inlineStr" s="4">
        <is>
          <t>Wisata Detail</t>
        </is>
      </c>
      <c r="D46" t="inlineStr" s="4">
        <is>
          <t>Detail / Ticket Selection</t>
        </is>
      </c>
      <c r="E46" t="inlineStr" s="4">
        <is>
          <t>Guest selecting ticket is sent to login after draft creation</t>
        </is>
      </c>
      <c r="F46" t="inlineStr" s="4">
        <is>
          <t>Guest/User</t>
        </is>
      </c>
      <c r="G46" t="inlineStr" s="4">
        <is>
          <t>Destination data exists for the test condition.</t>
        </is>
      </c>
      <c r="H46" t="inlineStr" s="4">
        <is>
          <t>Guest user selects valid ticket</t>
        </is>
      </c>
      <c r="I46" t="inlineStr" s="4">
        <is>
          <t>1. Open a wisata detail page.
2. Inspect ticket/detail information.
3. Perform the specified selection or navigation.
4. Observe result.</t>
        </is>
      </c>
      <c r="J46" t="inlineStr" s="4">
        <is>
          <t>Booking draft is preserved and user is redirected to login.</t>
        </is>
      </c>
      <c r="K46" s="4"/>
      <c r="L46" t="inlineStr" s="4">
        <is>
          <t>Not Run</t>
        </is>
      </c>
      <c r="M46" t="inlineStr" s="4">
        <is>
          <t>P0</t>
        </is>
      </c>
      <c r="N46" t="inlineStr" s="4">
        <is>
          <t>High</t>
        </is>
      </c>
      <c r="O46" t="inlineStr" s="4">
        <is>
          <t>Functional</t>
        </is>
      </c>
      <c r="P46" t="inlineStr" s="4">
        <is>
          <t>Staging / QA</t>
        </is>
      </c>
      <c r="Q46" t="inlineStr" s="4">
        <is>
          <t>Chrome desktop + Android Chrome unless specified</t>
        </is>
      </c>
      <c r="R46" t="inlineStr" s="4">
        <is>
          <t>/wisata/{destination}</t>
        </is>
      </c>
      <c r="S46" t="inlineStr" s="4">
        <is>
          <t>Maybe</t>
        </is>
      </c>
      <c r="T46" t="inlineStr" s="4">
        <is>
          <t>Yes</t>
        </is>
      </c>
      <c r="U46" t="inlineStr" s="4">
        <is>
          <t>Codex QA Generator</t>
        </is>
      </c>
      <c r="V46" s="4"/>
      <c r="W46" s="4"/>
      <c r="X46" s="4"/>
      <c r="Y46" s="4"/>
    </row>
    <row r="47" ht="54" customHeight="1">
      <c r="A47" t="inlineStr" s="4">
        <is>
          <t>TC-WISATA-BOOKING-001</t>
        </is>
      </c>
      <c r="B47" t="inlineStr" s="4">
        <is>
          <t>TS-WISATA-BOOKING-001</t>
        </is>
      </c>
      <c r="C47" t="inlineStr" s="4">
        <is>
          <t>Wisata Booking</t>
        </is>
      </c>
      <c r="D47" t="inlineStr" s="4">
        <is>
          <t>Checkout / Payment / E-ticket</t>
        </is>
      </c>
      <c r="E47" t="inlineStr" s="4">
        <is>
          <t>Prepare booking with one valid ticket</t>
        </is>
      </c>
      <c r="F47" t="inlineStr" s="4">
        <is>
          <t>User</t>
        </is>
      </c>
      <c r="G47" t="inlineStr" s="4">
        <is>
          <t>User is logged in and verified; live destination and active ticket exist unless negative case.</t>
        </is>
      </c>
      <c r="H47" t="inlineStr" s="4">
        <is>
          <t>Valid destination, ticket, visit date, quantity</t>
        </is>
      </c>
      <c r="I47" t="inlineStr" s="4">
        <is>
          <t>1. Login as user.
2. Select wisata ticket and visit date.
3. Continue to booking review.
4. Perform the specified checkout/payment action.
5. Observe booking, payment, email, and history behavior.</t>
        </is>
      </c>
      <c r="J47" t="inlineStr" s="4">
        <is>
          <t>Draft summary is created and user reaches booking review.</t>
        </is>
      </c>
      <c r="K47" s="4"/>
      <c r="L47" t="inlineStr" s="4">
        <is>
          <t>Not Run</t>
        </is>
      </c>
      <c r="M47" t="inlineStr" s="4">
        <is>
          <t>P0</t>
        </is>
      </c>
      <c r="N47" t="inlineStr" s="4">
        <is>
          <t>High</t>
        </is>
      </c>
      <c r="O47" t="inlineStr" s="4">
        <is>
          <t>Functional</t>
        </is>
      </c>
      <c r="P47" t="inlineStr" s="4">
        <is>
          <t>Staging / QA</t>
        </is>
      </c>
      <c r="Q47" t="inlineStr" s="4">
        <is>
          <t>Chrome desktop + Android Chrome unless specified</t>
        </is>
      </c>
      <c r="R47" t="inlineStr" s="4">
        <is>
          <t>/wisata/booking/*, /api/wisata/bookings/*</t>
        </is>
      </c>
      <c r="S47" t="inlineStr" s="4">
        <is>
          <t>Maybe</t>
        </is>
      </c>
      <c r="T47" t="inlineStr" s="4">
        <is>
          <t>Yes</t>
        </is>
      </c>
      <c r="U47" t="inlineStr" s="4">
        <is>
          <t>Codex QA Generator</t>
        </is>
      </c>
      <c r="V47" s="4"/>
      <c r="W47" s="4"/>
      <c r="X47" s="4"/>
      <c r="Y47" s="4"/>
    </row>
    <row r="48" ht="54" customHeight="1">
      <c r="A48" t="inlineStr" s="4">
        <is>
          <t>TC-WISATA-BOOKING-002</t>
        </is>
      </c>
      <c r="B48" t="inlineStr" s="4">
        <is>
          <t>TS-WISATA-BOOKING-001</t>
        </is>
      </c>
      <c r="C48" t="inlineStr" s="4">
        <is>
          <t>Wisata Booking</t>
        </is>
      </c>
      <c r="D48" t="inlineStr" s="4">
        <is>
          <t>Checkout / Payment / E-ticket</t>
        </is>
      </c>
      <c r="E48" t="inlineStr" s="4">
        <is>
          <t>Prepare booking with multiple ticket types</t>
        </is>
      </c>
      <c r="F48" t="inlineStr" s="4">
        <is>
          <t>User</t>
        </is>
      </c>
      <c r="G48" t="inlineStr" s="4">
        <is>
          <t>User is logged in and verified; live destination and active ticket exist unless negative case.</t>
        </is>
      </c>
      <c r="H48" t="inlineStr" s="4">
        <is>
          <t>Two valid ticket selections</t>
        </is>
      </c>
      <c r="I48" t="inlineStr" s="4">
        <is>
          <t>1. Login as user.
2. Select wisata ticket and visit date.
3. Continue to booking review.
4. Perform the specified checkout/payment action.
5. Observe booking, payment, email, and history behavior.</t>
        </is>
      </c>
      <c r="J48" t="inlineStr" s="4">
        <is>
          <t>Review summary totals all selected ticket items correctly.</t>
        </is>
      </c>
      <c r="K48" s="4"/>
      <c r="L48" t="inlineStr" s="4">
        <is>
          <t>Not Run</t>
        </is>
      </c>
      <c r="M48" t="inlineStr" s="4">
        <is>
          <t>P1</t>
        </is>
      </c>
      <c r="N48" t="inlineStr" s="4">
        <is>
          <t>High</t>
        </is>
      </c>
      <c r="O48" t="inlineStr" s="4">
        <is>
          <t>Functional</t>
        </is>
      </c>
      <c r="P48" t="inlineStr" s="4">
        <is>
          <t>Staging / QA</t>
        </is>
      </c>
      <c r="Q48" t="inlineStr" s="4">
        <is>
          <t>Chrome desktop + Android Chrome unless specified</t>
        </is>
      </c>
      <c r="R48" t="inlineStr" s="4">
        <is>
          <t>/wisata/booking/*, /api/wisata/bookings/*</t>
        </is>
      </c>
      <c r="S48" t="inlineStr" s="4">
        <is>
          <t>Maybe</t>
        </is>
      </c>
      <c r="T48" t="inlineStr" s="4">
        <is>
          <t>Yes</t>
        </is>
      </c>
      <c r="U48" t="inlineStr" s="4">
        <is>
          <t>Codex QA Generator</t>
        </is>
      </c>
      <c r="V48" s="4"/>
      <c r="W48" s="4"/>
      <c r="X48" s="4"/>
      <c r="Y48" s="4"/>
    </row>
    <row r="49" ht="54" customHeight="1">
      <c r="A49" t="inlineStr" s="4">
        <is>
          <t>TC-WISATA-BOOKING-003</t>
        </is>
      </c>
      <c r="B49" t="inlineStr" s="4">
        <is>
          <t>TS-WISATA-BOOKING-001</t>
        </is>
      </c>
      <c r="C49" t="inlineStr" s="4">
        <is>
          <t>Wisata Booking</t>
        </is>
      </c>
      <c r="D49" t="inlineStr" s="4">
        <is>
          <t>Checkout / Payment / E-ticket</t>
        </is>
      </c>
      <c r="E49" t="inlineStr" s="4">
        <is>
          <t>Prepare rejects quantity above 20</t>
        </is>
      </c>
      <c r="F49" t="inlineStr" s="4">
        <is>
          <t>User</t>
        </is>
      </c>
      <c r="G49" t="inlineStr" s="4">
        <is>
          <t>User is logged in and verified; live destination and active ticket exist unless negative case.</t>
        </is>
      </c>
      <c r="H49" t="inlineStr" s="4">
        <is>
          <t>Quantity 21</t>
        </is>
      </c>
      <c r="I49" t="inlineStr" s="4">
        <is>
          <t>1. Login as user.
2. Select wisata ticket and visit date.
3. Continue to booking review.
4. Perform the specified checkout/payment action.
5. Observe booking, payment, email, and history behavior.</t>
        </is>
      </c>
      <c r="J49" t="inlineStr" s="4">
        <is>
          <t>Validation rejects request before creating draft.</t>
        </is>
      </c>
      <c r="K49" s="4"/>
      <c r="L49" t="inlineStr" s="4">
        <is>
          <t>Not Run</t>
        </is>
      </c>
      <c r="M49" t="inlineStr" s="4">
        <is>
          <t>P1</t>
        </is>
      </c>
      <c r="N49" t="inlineStr" s="4">
        <is>
          <t>High</t>
        </is>
      </c>
      <c r="O49" t="inlineStr" s="4">
        <is>
          <t>Functional</t>
        </is>
      </c>
      <c r="P49" t="inlineStr" s="4">
        <is>
          <t>Staging / QA</t>
        </is>
      </c>
      <c r="Q49" t="inlineStr" s="4">
        <is>
          <t>Chrome desktop + Android Chrome unless specified</t>
        </is>
      </c>
      <c r="R49" t="inlineStr" s="4">
        <is>
          <t>/wisata/booking/*, /api/wisata/bookings/*</t>
        </is>
      </c>
      <c r="S49" t="inlineStr" s="4">
        <is>
          <t>Maybe</t>
        </is>
      </c>
      <c r="T49" t="inlineStr" s="4">
        <is>
          <t>Yes</t>
        </is>
      </c>
      <c r="U49" t="inlineStr" s="4">
        <is>
          <t>Codex QA Generator</t>
        </is>
      </c>
      <c r="V49" s="4"/>
      <c r="W49" s="4"/>
      <c r="X49" s="4"/>
      <c r="Y49" s="4"/>
    </row>
    <row r="50" ht="54" customHeight="1">
      <c r="A50" t="inlineStr" s="4">
        <is>
          <t>TC-WISATA-BOOKING-004</t>
        </is>
      </c>
      <c r="B50" t="inlineStr" s="4">
        <is>
          <t>TS-WISATA-BOOKING-001</t>
        </is>
      </c>
      <c r="C50" t="inlineStr" s="4">
        <is>
          <t>Wisata Booking</t>
        </is>
      </c>
      <c r="D50" t="inlineStr" s="4">
        <is>
          <t>Checkout / Payment / E-ticket</t>
        </is>
      </c>
      <c r="E50" t="inlineStr" s="4">
        <is>
          <t>Prepare rejects destination/ticket mismatch</t>
        </is>
      </c>
      <c r="F50" t="inlineStr" s="4">
        <is>
          <t>User</t>
        </is>
      </c>
      <c r="G50" t="inlineStr" s="4">
        <is>
          <t>User is logged in and verified; live destination and active ticket exist unless negative case.</t>
        </is>
      </c>
      <c r="H50" t="inlineStr" s="4">
        <is>
          <t>Ticket from another destination</t>
        </is>
      </c>
      <c r="I50" t="inlineStr" s="4">
        <is>
          <t>1. Login as user.
2. Select wisata ticket and visit date.
3. Continue to booking review.
4. Perform the specified checkout/payment action.
5. Observe booking, payment, email, and history behavior.</t>
        </is>
      </c>
      <c r="J50" t="inlineStr" s="4">
        <is>
          <t>Validation error prevents invalid booking.</t>
        </is>
      </c>
      <c r="K50" s="4"/>
      <c r="L50" t="inlineStr" s="4">
        <is>
          <t>Not Run</t>
        </is>
      </c>
      <c r="M50" t="inlineStr" s="4">
        <is>
          <t>P1</t>
        </is>
      </c>
      <c r="N50" t="inlineStr" s="4">
        <is>
          <t>High</t>
        </is>
      </c>
      <c r="O50" t="inlineStr" s="4">
        <is>
          <t>Functional</t>
        </is>
      </c>
      <c r="P50" t="inlineStr" s="4">
        <is>
          <t>Staging / QA</t>
        </is>
      </c>
      <c r="Q50" t="inlineStr" s="4">
        <is>
          <t>Chrome desktop + Android Chrome unless specified</t>
        </is>
      </c>
      <c r="R50" t="inlineStr" s="4">
        <is>
          <t>/wisata/booking/*, /api/wisata/bookings/*</t>
        </is>
      </c>
      <c r="S50" t="inlineStr" s="4">
        <is>
          <t>Maybe</t>
        </is>
      </c>
      <c r="T50" t="inlineStr" s="4">
        <is>
          <t>Yes</t>
        </is>
      </c>
      <c r="U50" t="inlineStr" s="4">
        <is>
          <t>Codex QA Generator</t>
        </is>
      </c>
      <c r="V50" s="4"/>
      <c r="W50" s="4"/>
      <c r="X50" s="4"/>
      <c r="Y50" s="4"/>
    </row>
    <row r="51" ht="54" customHeight="1">
      <c r="A51" t="inlineStr" s="4">
        <is>
          <t>TC-WISATA-BOOKING-005</t>
        </is>
      </c>
      <c r="B51" t="inlineStr" s="4">
        <is>
          <t>TS-WISATA-BOOKING-001</t>
        </is>
      </c>
      <c r="C51" t="inlineStr" s="4">
        <is>
          <t>Wisata Booking</t>
        </is>
      </c>
      <c r="D51" t="inlineStr" s="4">
        <is>
          <t>Checkout / Payment / E-ticket</t>
        </is>
      </c>
      <c r="E51" t="inlineStr" s="4">
        <is>
          <t>Apply valid voucher</t>
        </is>
      </c>
      <c r="F51" t="inlineStr" s="4">
        <is>
          <t>User</t>
        </is>
      </c>
      <c r="G51" t="inlineStr" s="4">
        <is>
          <t>User is logged in and verified; live destination and active ticket exist unless negative case.</t>
        </is>
      </c>
      <c r="H51" t="inlineStr" s="4">
        <is>
          <t>Voucher active and quota remains</t>
        </is>
      </c>
      <c r="I51" t="inlineStr" s="4">
        <is>
          <t>1. Login as user.
2. Select wisata ticket and visit date.
3. Continue to booking review.
4. Perform the specified checkout/payment action.
5. Observe booking, payment, email, and history behavior.</t>
        </is>
      </c>
      <c r="J51" t="inlineStr" s="4">
        <is>
          <t>Discount is shown, total updates, and voucher remains attached to draft.</t>
        </is>
      </c>
      <c r="K51" s="4"/>
      <c r="L51" t="inlineStr" s="4">
        <is>
          <t>Not Run</t>
        </is>
      </c>
      <c r="M51" t="inlineStr" s="4">
        <is>
          <t>P1</t>
        </is>
      </c>
      <c r="N51" t="inlineStr" s="4">
        <is>
          <t>High</t>
        </is>
      </c>
      <c r="O51" t="inlineStr" s="4">
        <is>
          <t>Functional</t>
        </is>
      </c>
      <c r="P51" t="inlineStr" s="4">
        <is>
          <t>Staging / QA</t>
        </is>
      </c>
      <c r="Q51" t="inlineStr" s="4">
        <is>
          <t>Chrome desktop + Android Chrome unless specified</t>
        </is>
      </c>
      <c r="R51" t="inlineStr" s="4">
        <is>
          <t>/wisata/booking/*, /api/wisata/bookings/*</t>
        </is>
      </c>
      <c r="S51" t="inlineStr" s="4">
        <is>
          <t>Maybe</t>
        </is>
      </c>
      <c r="T51" t="inlineStr" s="4">
        <is>
          <t>Yes</t>
        </is>
      </c>
      <c r="U51" t="inlineStr" s="4">
        <is>
          <t>Codex QA Generator</t>
        </is>
      </c>
      <c r="V51" s="4"/>
      <c r="W51" s="4"/>
      <c r="X51" s="4"/>
      <c r="Y51" s="4"/>
    </row>
    <row r="52" ht="54" customHeight="1">
      <c r="A52" t="inlineStr" s="4">
        <is>
          <t>TC-WISATA-BOOKING-006</t>
        </is>
      </c>
      <c r="B52" t="inlineStr" s="4">
        <is>
          <t>TS-WISATA-BOOKING-001</t>
        </is>
      </c>
      <c r="C52" t="inlineStr" s="4">
        <is>
          <t>Wisata Booking</t>
        </is>
      </c>
      <c r="D52" t="inlineStr" s="4">
        <is>
          <t>Checkout / Payment / E-ticket</t>
        </is>
      </c>
      <c r="E52" t="inlineStr" s="4">
        <is>
          <t>Apply voucher below minimum transaction</t>
        </is>
      </c>
      <c r="F52" t="inlineStr" s="4">
        <is>
          <t>User</t>
        </is>
      </c>
      <c r="G52" t="inlineStr" s="4">
        <is>
          <t>User is logged in and verified; live destination and active ticket exist unless negative case.</t>
        </is>
      </c>
      <c r="H52" t="inlineStr" s="4">
        <is>
          <t>Voucher min_transaction above subtotal</t>
        </is>
      </c>
      <c r="I52" t="inlineStr" s="4">
        <is>
          <t>1. Login as user.
2. Select wisata ticket and visit date.
3. Continue to booking review.
4. Perform the specified checkout/payment action.
5. Observe booking, payment, email, and history behavior.</t>
        </is>
      </c>
      <c r="J52" t="inlineStr" s="4">
        <is>
          <t>Voucher is rejected with minimum transaction error.</t>
        </is>
      </c>
      <c r="K52" s="4"/>
      <c r="L52" t="inlineStr" s="4">
        <is>
          <t>Not Run</t>
        </is>
      </c>
      <c r="M52" t="inlineStr" s="4">
        <is>
          <t>P1</t>
        </is>
      </c>
      <c r="N52" t="inlineStr" s="4">
        <is>
          <t>High</t>
        </is>
      </c>
      <c r="O52" t="inlineStr" s="4">
        <is>
          <t>Functional</t>
        </is>
      </c>
      <c r="P52" t="inlineStr" s="4">
        <is>
          <t>Staging / QA</t>
        </is>
      </c>
      <c r="Q52" t="inlineStr" s="4">
        <is>
          <t>Chrome desktop + Android Chrome unless specified</t>
        </is>
      </c>
      <c r="R52" t="inlineStr" s="4">
        <is>
          <t>/wisata/booking/*, /api/wisata/bookings/*</t>
        </is>
      </c>
      <c r="S52" t="inlineStr" s="4">
        <is>
          <t>Maybe</t>
        </is>
      </c>
      <c r="T52" t="inlineStr" s="4">
        <is>
          <t>Yes</t>
        </is>
      </c>
      <c r="U52" t="inlineStr" s="4">
        <is>
          <t>Codex QA Generator</t>
        </is>
      </c>
      <c r="V52" s="4"/>
      <c r="W52" s="4"/>
      <c r="X52" s="4"/>
      <c r="Y52" s="4"/>
    </row>
    <row r="53" ht="54" customHeight="1">
      <c r="A53" t="inlineStr" s="4">
        <is>
          <t>TC-WISATA-BOOKING-007</t>
        </is>
      </c>
      <c r="B53" t="inlineStr" s="4">
        <is>
          <t>TS-WISATA-BOOKING-001</t>
        </is>
      </c>
      <c r="C53" t="inlineStr" s="4">
        <is>
          <t>Wisata Booking</t>
        </is>
      </c>
      <c r="D53" t="inlineStr" s="4">
        <is>
          <t>Checkout / Payment / E-ticket</t>
        </is>
      </c>
      <c r="E53" t="inlineStr" s="4">
        <is>
          <t>Apply exhausted voucher</t>
        </is>
      </c>
      <c r="F53" t="inlineStr" s="4">
        <is>
          <t>User</t>
        </is>
      </c>
      <c r="G53" t="inlineStr" s="4">
        <is>
          <t>User is logged in and verified; live destination and active ticket exist unless negative case.</t>
        </is>
      </c>
      <c r="H53" t="inlineStr" s="4">
        <is>
          <t>Voucher quota_total equals quota_used</t>
        </is>
      </c>
      <c r="I53" t="inlineStr" s="4">
        <is>
          <t>1. Login as user.
2. Select wisata ticket and visit date.
3. Continue to booking review.
4. Perform the specified checkout/payment action.
5. Observe booking, payment, email, and history behavior.</t>
        </is>
      </c>
      <c r="J53" t="inlineStr" s="4">
        <is>
          <t>Voucher is rejected as invalid/habis.</t>
        </is>
      </c>
      <c r="K53" s="4"/>
      <c r="L53" t="inlineStr" s="4">
        <is>
          <t>Not Run</t>
        </is>
      </c>
      <c r="M53" t="inlineStr" s="4">
        <is>
          <t>P1</t>
        </is>
      </c>
      <c r="N53" t="inlineStr" s="4">
        <is>
          <t>High</t>
        </is>
      </c>
      <c r="O53" t="inlineStr" s="4">
        <is>
          <t>Functional</t>
        </is>
      </c>
      <c r="P53" t="inlineStr" s="4">
        <is>
          <t>Staging / QA</t>
        </is>
      </c>
      <c r="Q53" t="inlineStr" s="4">
        <is>
          <t>Chrome desktop + Android Chrome unless specified</t>
        </is>
      </c>
      <c r="R53" t="inlineStr" s="4">
        <is>
          <t>/wisata/booking/*, /api/wisata/bookings/*</t>
        </is>
      </c>
      <c r="S53" t="inlineStr" s="4">
        <is>
          <t>Maybe</t>
        </is>
      </c>
      <c r="T53" t="inlineStr" s="4">
        <is>
          <t>Yes</t>
        </is>
      </c>
      <c r="U53" t="inlineStr" s="4">
        <is>
          <t>Codex QA Generator</t>
        </is>
      </c>
      <c r="V53" s="4"/>
      <c r="W53" s="4"/>
      <c r="X53" s="4"/>
      <c r="Y53" s="4"/>
    </row>
    <row r="54" ht="54" customHeight="1">
      <c r="A54" t="inlineStr" s="4">
        <is>
          <t>TC-WISATA-BOOKING-008</t>
        </is>
      </c>
      <c r="B54" t="inlineStr" s="4">
        <is>
          <t>TS-WISATA-BOOKING-001</t>
        </is>
      </c>
      <c r="C54" t="inlineStr" s="4">
        <is>
          <t>Wisata Booking</t>
        </is>
      </c>
      <c r="D54" t="inlineStr" s="4">
        <is>
          <t>Checkout / Payment / E-ticket</t>
        </is>
      </c>
      <c r="E54" t="inlineStr" s="4">
        <is>
          <t>Remove voucher from booking review</t>
        </is>
      </c>
      <c r="F54" t="inlineStr" s="4">
        <is>
          <t>User</t>
        </is>
      </c>
      <c r="G54" t="inlineStr" s="4">
        <is>
          <t>User is logged in and verified; live destination and active ticket exist unless negative case.</t>
        </is>
      </c>
      <c r="H54" t="inlineStr" s="4">
        <is>
          <t>Draft with applied voucher</t>
        </is>
      </c>
      <c r="I54" t="inlineStr" s="4">
        <is>
          <t>1. Login as user.
2. Select wisata ticket and visit date.
3. Continue to booking review.
4. Perform the specified checkout/payment action.
5. Observe booking, payment, email, and history behavior.</t>
        </is>
      </c>
      <c r="J54" t="inlineStr" s="4">
        <is>
          <t>Discount is removed and total returns to subtotal.</t>
        </is>
      </c>
      <c r="K54" s="4"/>
      <c r="L54" t="inlineStr" s="4">
        <is>
          <t>Not Run</t>
        </is>
      </c>
      <c r="M54" t="inlineStr" s="4">
        <is>
          <t>P1</t>
        </is>
      </c>
      <c r="N54" t="inlineStr" s="4">
        <is>
          <t>High</t>
        </is>
      </c>
      <c r="O54" t="inlineStr" s="4">
        <is>
          <t>Functional</t>
        </is>
      </c>
      <c r="P54" t="inlineStr" s="4">
        <is>
          <t>Staging / QA</t>
        </is>
      </c>
      <c r="Q54" t="inlineStr" s="4">
        <is>
          <t>Chrome desktop + Android Chrome unless specified</t>
        </is>
      </c>
      <c r="R54" t="inlineStr" s="4">
        <is>
          <t>/wisata/booking/*, /api/wisata/bookings/*</t>
        </is>
      </c>
      <c r="S54" t="inlineStr" s="4">
        <is>
          <t>Maybe</t>
        </is>
      </c>
      <c r="T54" t="inlineStr" s="4">
        <is>
          <t>Yes</t>
        </is>
      </c>
      <c r="U54" t="inlineStr" s="4">
        <is>
          <t>Codex QA Generator</t>
        </is>
      </c>
      <c r="V54" s="4"/>
      <c r="W54" s="4"/>
      <c r="X54" s="4"/>
      <c r="Y54" s="4"/>
    </row>
    <row r="55" ht="54" customHeight="1">
      <c r="A55" t="inlineStr" s="4">
        <is>
          <t>TC-WISATA-BOOKING-009</t>
        </is>
      </c>
      <c r="B55" t="inlineStr" s="4">
        <is>
          <t>TS-WISATA-BOOKING-001</t>
        </is>
      </c>
      <c r="C55" t="inlineStr" s="4">
        <is>
          <t>Wisata Booking</t>
        </is>
      </c>
      <c r="D55" t="inlineStr" s="4">
        <is>
          <t>Checkout / Payment / E-ticket</t>
        </is>
      </c>
      <c r="E55" t="inlineStr" s="4">
        <is>
          <t>Confirm booking with complete guest data and profile phone</t>
        </is>
      </c>
      <c r="F55" t="inlineStr" s="4">
        <is>
          <t>User</t>
        </is>
      </c>
      <c r="G55" t="inlineStr" s="4">
        <is>
          <t>User is logged in and verified; live destination and active ticket exist unless negative case.</t>
        </is>
      </c>
      <c r="H55" t="inlineStr" s="4">
        <is>
          <t>Valid guest_name, guest_email, profile phone exists</t>
        </is>
      </c>
      <c r="I55" t="inlineStr" s="4">
        <is>
          <t>1. Login as user.
2. Select wisata ticket and visit date.
3. Continue to booking review.
4. Perform the specified checkout/payment action.
5. Observe booking, payment, email, and history behavior.</t>
        </is>
      </c>
      <c r="J55" t="inlineStr" s="4">
        <is>
          <t>Booking is created pending payment, payment deadline set, and Midtrans snap token/redirect appears if configured.</t>
        </is>
      </c>
      <c r="K55" s="4"/>
      <c r="L55" t="inlineStr" s="4">
        <is>
          <t>Not Run</t>
        </is>
      </c>
      <c r="M55" t="inlineStr" s="4">
        <is>
          <t>P0</t>
        </is>
      </c>
      <c r="N55" t="inlineStr" s="4">
        <is>
          <t>Critical</t>
        </is>
      </c>
      <c r="O55" t="inlineStr" s="4">
        <is>
          <t>Functional</t>
        </is>
      </c>
      <c r="P55" t="inlineStr" s="4">
        <is>
          <t>Staging / QA</t>
        </is>
      </c>
      <c r="Q55" t="inlineStr" s="4">
        <is>
          <t>Chrome desktop + Android Chrome unless specified</t>
        </is>
      </c>
      <c r="R55" t="inlineStr" s="4">
        <is>
          <t>/wisata/booking/*, /api/wisata/bookings/*</t>
        </is>
      </c>
      <c r="S55" t="inlineStr" s="4">
        <is>
          <t>Maybe</t>
        </is>
      </c>
      <c r="T55" t="inlineStr" s="4">
        <is>
          <t>Yes</t>
        </is>
      </c>
      <c r="U55" t="inlineStr" s="4">
        <is>
          <t>Codex QA Generator</t>
        </is>
      </c>
      <c r="V55" s="4"/>
      <c r="W55" s="4"/>
      <c r="X55" s="4"/>
      <c r="Y55" s="4"/>
    </row>
    <row r="56" ht="54" customHeight="1">
      <c r="A56" t="inlineStr" s="4">
        <is>
          <t>TC-WISATA-BOOKING-010</t>
        </is>
      </c>
      <c r="B56" t="inlineStr" s="4">
        <is>
          <t>TS-WISATA-BOOKING-001</t>
        </is>
      </c>
      <c r="C56" t="inlineStr" s="4">
        <is>
          <t>Wisata Booking</t>
        </is>
      </c>
      <c r="D56" t="inlineStr" s="4">
        <is>
          <t>Checkout / Payment / E-ticket</t>
        </is>
      </c>
      <c r="E56" t="inlineStr" s="4">
        <is>
          <t>Confirm booking blocked when user has no phone</t>
        </is>
      </c>
      <c r="F56" t="inlineStr" s="4">
        <is>
          <t>User</t>
        </is>
      </c>
      <c r="G56" t="inlineStr" s="4">
        <is>
          <t>User is logged in and verified; live destination and active ticket exist unless negative case.</t>
        </is>
      </c>
      <c r="H56" t="inlineStr" s="4">
        <is>
          <t>User profile phone empty</t>
        </is>
      </c>
      <c r="I56" t="inlineStr" s="4">
        <is>
          <t>1. Login as user.
2. Select wisata ticket and visit date.
3. Continue to booking review.
4. Perform the specified checkout/payment action.
5. Observe booking, payment, email, and history behavior.</t>
        </is>
      </c>
      <c r="J56" t="inlineStr" s="4">
        <is>
          <t>Request is rejected with phone profile error.</t>
        </is>
      </c>
      <c r="K56" s="4"/>
      <c r="L56" t="inlineStr" s="4">
        <is>
          <t>Not Run</t>
        </is>
      </c>
      <c r="M56" t="inlineStr" s="4">
        <is>
          <t>P1</t>
        </is>
      </c>
      <c r="N56" t="inlineStr" s="4">
        <is>
          <t>High</t>
        </is>
      </c>
      <c r="O56" t="inlineStr" s="4">
        <is>
          <t>Functional</t>
        </is>
      </c>
      <c r="P56" t="inlineStr" s="4">
        <is>
          <t>Staging / QA</t>
        </is>
      </c>
      <c r="Q56" t="inlineStr" s="4">
        <is>
          <t>Chrome desktop + Android Chrome unless specified</t>
        </is>
      </c>
      <c r="R56" t="inlineStr" s="4">
        <is>
          <t>/wisata/booking/*, /api/wisata/bookings/*</t>
        </is>
      </c>
      <c r="S56" t="inlineStr" s="4">
        <is>
          <t>Maybe</t>
        </is>
      </c>
      <c r="T56" t="inlineStr" s="4">
        <is>
          <t>Yes</t>
        </is>
      </c>
      <c r="U56" t="inlineStr" s="4">
        <is>
          <t>Codex QA Generator</t>
        </is>
      </c>
      <c r="V56" s="4"/>
      <c r="W56" s="4"/>
      <c r="X56" s="4"/>
      <c r="Y56" s="4"/>
    </row>
    <row r="57" ht="54" customHeight="1">
      <c r="A57" t="inlineStr" s="4">
        <is>
          <t>TC-WISATA-BOOKING-011</t>
        </is>
      </c>
      <c r="B57" t="inlineStr" s="4">
        <is>
          <t>TS-WISATA-BOOKING-001</t>
        </is>
      </c>
      <c r="C57" t="inlineStr" s="4">
        <is>
          <t>Wisata Booking</t>
        </is>
      </c>
      <c r="D57" t="inlineStr" s="4">
        <is>
          <t>Checkout / Payment / E-ticket</t>
        </is>
      </c>
      <c r="E57" t="inlineStr" s="4">
        <is>
          <t>Duplicate confirm reuses existing pending booking</t>
        </is>
      </c>
      <c r="F57" t="inlineStr" s="4">
        <is>
          <t>User</t>
        </is>
      </c>
      <c r="G57" t="inlineStr" s="4">
        <is>
          <t>User is logged in and verified; live destination and active ticket exist unless negative case.</t>
        </is>
      </c>
      <c r="H57" t="inlineStr" s="4">
        <is>
          <t>Existing pending booking id in session</t>
        </is>
      </c>
      <c r="I57" t="inlineStr" s="4">
        <is>
          <t>1. Login as user.
2. Select wisata ticket and visit date.
3. Continue to booking review.
4. Perform the specified checkout/payment action.
5. Observe booking, payment, email, and history behavior.</t>
        </is>
      </c>
      <c r="J57" t="inlineStr" s="4">
        <is>
          <t>System reuses pending payment instead of creating duplicate booking.</t>
        </is>
      </c>
      <c r="K57" s="4"/>
      <c r="L57" t="inlineStr" s="4">
        <is>
          <t>Not Run</t>
        </is>
      </c>
      <c r="M57" t="inlineStr" s="4">
        <is>
          <t>P1</t>
        </is>
      </c>
      <c r="N57" t="inlineStr" s="4">
        <is>
          <t>High</t>
        </is>
      </c>
      <c r="O57" t="inlineStr" s="4">
        <is>
          <t>Functional</t>
        </is>
      </c>
      <c r="P57" t="inlineStr" s="4">
        <is>
          <t>Staging / QA</t>
        </is>
      </c>
      <c r="Q57" t="inlineStr" s="4">
        <is>
          <t>Chrome desktop + Android Chrome unless specified</t>
        </is>
      </c>
      <c r="R57" t="inlineStr" s="4">
        <is>
          <t>/wisata/booking/*, /api/wisata/bookings/*</t>
        </is>
      </c>
      <c r="S57" t="inlineStr" s="4">
        <is>
          <t>Maybe</t>
        </is>
      </c>
      <c r="T57" t="inlineStr" s="4">
        <is>
          <t>Yes</t>
        </is>
      </c>
      <c r="U57" t="inlineStr" s="4">
        <is>
          <t>Codex QA Generator</t>
        </is>
      </c>
      <c r="V57" s="4"/>
      <c r="W57" s="4"/>
      <c r="X57" s="4"/>
      <c r="Y57" s="4"/>
    </row>
    <row r="58" ht="54" customHeight="1">
      <c r="A58" t="inlineStr" s="4">
        <is>
          <t>TC-WISATA-BOOKING-012</t>
        </is>
      </c>
      <c r="B58" t="inlineStr" s="4">
        <is>
          <t>TS-WISATA-BOOKING-001</t>
        </is>
      </c>
      <c r="C58" t="inlineStr" s="4">
        <is>
          <t>Wisata Booking</t>
        </is>
      </c>
      <c r="D58" t="inlineStr" s="4">
        <is>
          <t>Checkout / Payment / E-ticket</t>
        </is>
      </c>
      <c r="E58" t="inlineStr" s="4">
        <is>
          <t>Payment page opens for owner booking</t>
        </is>
      </c>
      <c r="F58" t="inlineStr" s="4">
        <is>
          <t>User</t>
        </is>
      </c>
      <c r="G58" t="inlineStr" s="4">
        <is>
          <t>User is logged in and verified; live destination and active ticket exist unless negative case.</t>
        </is>
      </c>
      <c r="H58" t="inlineStr" s="4">
        <is>
          <t>Authenticated owner and booking id</t>
        </is>
      </c>
      <c r="I58" t="inlineStr" s="4">
        <is>
          <t>1. Login as user.
2. Select wisata ticket and visit date.
3. Continue to booking review.
4. Perform the specified checkout/payment action.
5. Observe booking, payment, email, and history behavior.</t>
        </is>
      </c>
      <c r="J58" t="inlineStr" s="4">
        <is>
          <t>Payment page shows correct amount and payment status.</t>
        </is>
      </c>
      <c r="K58" s="4"/>
      <c r="L58" t="inlineStr" s="4">
        <is>
          <t>Not Run</t>
        </is>
      </c>
      <c r="M58" t="inlineStr" s="4">
        <is>
          <t>P1</t>
        </is>
      </c>
      <c r="N58" t="inlineStr" s="4">
        <is>
          <t>High</t>
        </is>
      </c>
      <c r="O58" t="inlineStr" s="4">
        <is>
          <t>Functional</t>
        </is>
      </c>
      <c r="P58" t="inlineStr" s="4">
        <is>
          <t>Staging / QA</t>
        </is>
      </c>
      <c r="Q58" t="inlineStr" s="4">
        <is>
          <t>Chrome desktop + Android Chrome unless specified</t>
        </is>
      </c>
      <c r="R58" t="inlineStr" s="4">
        <is>
          <t>/wisata/booking/*, /api/wisata/bookings/*</t>
        </is>
      </c>
      <c r="S58" t="inlineStr" s="4">
        <is>
          <t>Maybe</t>
        </is>
      </c>
      <c r="T58" t="inlineStr" s="4">
        <is>
          <t>Yes</t>
        </is>
      </c>
      <c r="U58" t="inlineStr" s="4">
        <is>
          <t>Codex QA Generator</t>
        </is>
      </c>
      <c r="V58" s="4"/>
      <c r="W58" s="4"/>
      <c r="X58" s="4"/>
      <c r="Y58" s="4"/>
    </row>
    <row r="59" ht="54" customHeight="1">
      <c r="A59" t="inlineStr" s="4">
        <is>
          <t>TC-WISATA-BOOKING-013</t>
        </is>
      </c>
      <c r="B59" t="inlineStr" s="4">
        <is>
          <t>TS-WISATA-BOOKING-001</t>
        </is>
      </c>
      <c r="C59" t="inlineStr" s="4">
        <is>
          <t>Wisata Booking</t>
        </is>
      </c>
      <c r="D59" t="inlineStr" s="4">
        <is>
          <t>Checkout / Payment / E-ticket</t>
        </is>
      </c>
      <c r="E59" t="inlineStr" s="4">
        <is>
          <t>Payment access denied for another user booking</t>
        </is>
      </c>
      <c r="F59" t="inlineStr" s="4">
        <is>
          <t>User</t>
        </is>
      </c>
      <c r="G59" t="inlineStr" s="4">
        <is>
          <t>User is logged in and verified; live destination and active ticket exist unless negative case.</t>
        </is>
      </c>
      <c r="H59" t="inlineStr" s="4">
        <is>
          <t>Booking id owned by another user</t>
        </is>
      </c>
      <c r="I59" t="inlineStr" s="4">
        <is>
          <t>1. Login as user.
2. Select wisata ticket and visit date.
3. Continue to booking review.
4. Perform the specified checkout/payment action.
5. Observe booking, payment, email, and history behavior.</t>
        </is>
      </c>
      <c r="J59" t="inlineStr" s="4">
        <is>
          <t>User receives not found/forbidden behavior and no data exposure.</t>
        </is>
      </c>
      <c r="K59" s="4"/>
      <c r="L59" t="inlineStr" s="4">
        <is>
          <t>Not Run</t>
        </is>
      </c>
      <c r="M59" t="inlineStr" s="4">
        <is>
          <t>P0</t>
        </is>
      </c>
      <c r="N59" t="inlineStr" s="4">
        <is>
          <t>Critical</t>
        </is>
      </c>
      <c r="O59" t="inlineStr" s="4">
        <is>
          <t>Functional</t>
        </is>
      </c>
      <c r="P59" t="inlineStr" s="4">
        <is>
          <t>Staging / QA</t>
        </is>
      </c>
      <c r="Q59" t="inlineStr" s="4">
        <is>
          <t>Chrome desktop + Android Chrome unless specified</t>
        </is>
      </c>
      <c r="R59" t="inlineStr" s="4">
        <is>
          <t>/wisata/booking/*, /api/wisata/bookings/*</t>
        </is>
      </c>
      <c r="S59" t="inlineStr" s="4">
        <is>
          <t>Maybe</t>
        </is>
      </c>
      <c r="T59" t="inlineStr" s="4">
        <is>
          <t>Yes</t>
        </is>
      </c>
      <c r="U59" t="inlineStr" s="4">
        <is>
          <t>Codex QA Generator</t>
        </is>
      </c>
      <c r="V59" s="4"/>
      <c r="W59" s="4"/>
      <c r="X59" s="4"/>
      <c r="Y59" s="4"/>
    </row>
    <row r="60" ht="54" customHeight="1">
      <c r="A60" t="inlineStr" s="4">
        <is>
          <t>TC-WISATA-BOOKING-014</t>
        </is>
      </c>
      <c r="B60" t="inlineStr" s="4">
        <is>
          <t>TS-WISATA-BOOKING-001</t>
        </is>
      </c>
      <c r="C60" t="inlineStr" s="4">
        <is>
          <t>Wisata Booking</t>
        </is>
      </c>
      <c r="D60" t="inlineStr" s="4">
        <is>
          <t>Checkout / Payment / E-ticket</t>
        </is>
      </c>
      <c r="E60" t="inlineStr" s="4">
        <is>
          <t>Paid booking e-ticket renders Indotix ticket</t>
        </is>
      </c>
      <c r="F60" t="inlineStr" s="4">
        <is>
          <t>User</t>
        </is>
      </c>
      <c r="G60" t="inlineStr" s="4">
        <is>
          <t>User is logged in and verified; live destination and active ticket exist unless negative case.</t>
        </is>
      </c>
      <c r="H60" t="inlineStr" s="4">
        <is>
          <t>Paid wisata booking</t>
        </is>
      </c>
      <c r="I60" t="inlineStr" s="4">
        <is>
          <t>1. Login as user.
2. Select wisata ticket and visit date.
3. Continue to booking review.
4. Perform the specified checkout/payment action.
5. Observe booking, payment, email, and history behavior.</t>
        </is>
      </c>
      <c r="J60" t="inlineStr" s="4">
        <is>
          <t>E-ticket page/PDF shows Indotix branding, route/date/user/ticket data and QR/scan instructions as designed.</t>
        </is>
      </c>
      <c r="K60" s="4"/>
      <c r="L60" t="inlineStr" s="4">
        <is>
          <t>Not Run</t>
        </is>
      </c>
      <c r="M60" t="inlineStr" s="4">
        <is>
          <t>P0</t>
        </is>
      </c>
      <c r="N60" t="inlineStr" s="4">
        <is>
          <t>High</t>
        </is>
      </c>
      <c r="O60" t="inlineStr" s="4">
        <is>
          <t>Functional</t>
        </is>
      </c>
      <c r="P60" t="inlineStr" s="4">
        <is>
          <t>Staging / QA</t>
        </is>
      </c>
      <c r="Q60" t="inlineStr" s="4">
        <is>
          <t>Chrome desktop + Android Chrome unless specified</t>
        </is>
      </c>
      <c r="R60" t="inlineStr" s="4">
        <is>
          <t>/wisata/booking/*, /api/wisata/bookings/*</t>
        </is>
      </c>
      <c r="S60" t="inlineStr" s="4">
        <is>
          <t>Maybe</t>
        </is>
      </c>
      <c r="T60" t="inlineStr" s="4">
        <is>
          <t>Yes</t>
        </is>
      </c>
      <c r="U60" t="inlineStr" s="4">
        <is>
          <t>Codex QA Generator</t>
        </is>
      </c>
      <c r="V60" s="4"/>
      <c r="W60" s="4"/>
      <c r="X60" s="4"/>
      <c r="Y60" s="4"/>
    </row>
    <row r="61" ht="54" customHeight="1">
      <c r="A61" t="inlineStr" s="4">
        <is>
          <t>TC-WISATA-BOOKING-015</t>
        </is>
      </c>
      <c r="B61" t="inlineStr" s="4">
        <is>
          <t>TS-WISATA-BOOKING-001</t>
        </is>
      </c>
      <c r="C61" t="inlineStr" s="4">
        <is>
          <t>Wisata Booking</t>
        </is>
      </c>
      <c r="D61" t="inlineStr" s="4">
        <is>
          <t>Checkout / Payment / E-ticket</t>
        </is>
      </c>
      <c r="E61" t="inlineStr" s="4">
        <is>
          <t>History shows paid and pending wisata bookings</t>
        </is>
      </c>
      <c r="F61" t="inlineStr" s="4">
        <is>
          <t>User</t>
        </is>
      </c>
      <c r="G61" t="inlineStr" s="4">
        <is>
          <t>User is logged in and verified; live destination and active ticket exist unless negative case.</t>
        </is>
      </c>
      <c r="H61" t="inlineStr" s="4">
        <is>
          <t>User has mixed booking status</t>
        </is>
      </c>
      <c r="I61" t="inlineStr" s="4">
        <is>
          <t>1. Login as user.
2. Select wisata ticket and visit date.
3. Continue to booking review.
4. Perform the specified checkout/payment action.
5. Observe booking, payment, email, and history behavior.</t>
        </is>
      </c>
      <c r="J61" t="inlineStr" s="4">
        <is>
          <t>History lists user-owned bookings with correct status and actions.</t>
        </is>
      </c>
      <c r="K61" s="4"/>
      <c r="L61" t="inlineStr" s="4">
        <is>
          <t>Not Run</t>
        </is>
      </c>
      <c r="M61" t="inlineStr" s="4">
        <is>
          <t>P1</t>
        </is>
      </c>
      <c r="N61" t="inlineStr" s="4">
        <is>
          <t>High</t>
        </is>
      </c>
      <c r="O61" t="inlineStr" s="4">
        <is>
          <t>Functional</t>
        </is>
      </c>
      <c r="P61" t="inlineStr" s="4">
        <is>
          <t>Staging / QA</t>
        </is>
      </c>
      <c r="Q61" t="inlineStr" s="4">
        <is>
          <t>Chrome desktop + Android Chrome unless specified</t>
        </is>
      </c>
      <c r="R61" t="inlineStr" s="4">
        <is>
          <t>/wisata/booking/*, /api/wisata/bookings/*</t>
        </is>
      </c>
      <c r="S61" t="inlineStr" s="4">
        <is>
          <t>Maybe</t>
        </is>
      </c>
      <c r="T61" t="inlineStr" s="4">
        <is>
          <t>Yes</t>
        </is>
      </c>
      <c r="U61" t="inlineStr" s="4">
        <is>
          <t>Codex QA Generator</t>
        </is>
      </c>
      <c r="V61" s="4"/>
      <c r="W61" s="4"/>
      <c r="X61" s="4"/>
      <c r="Y61" s="4"/>
    </row>
    <row r="62" ht="54" customHeight="1">
      <c r="A62" t="inlineStr" s="4">
        <is>
          <t>TC-WISATA-BOOKING-016</t>
        </is>
      </c>
      <c r="B62" t="inlineStr" s="4">
        <is>
          <t>TS-WISATA-BOOKING-001</t>
        </is>
      </c>
      <c r="C62" t="inlineStr" s="4">
        <is>
          <t>Wisata Booking</t>
        </is>
      </c>
      <c r="D62" t="inlineStr" s="4">
        <is>
          <t>Checkout / Payment / E-ticket</t>
        </is>
      </c>
      <c r="E62" t="inlineStr" s="4">
        <is>
          <t>Expired booking cannot be paid</t>
        </is>
      </c>
      <c r="F62" t="inlineStr" s="4">
        <is>
          <t>User</t>
        </is>
      </c>
      <c r="G62" t="inlineStr" s="4">
        <is>
          <t>User is logged in and verified; live destination and active ticket exist unless negative case.</t>
        </is>
      </c>
      <c r="H62" t="inlineStr" s="4">
        <is>
          <t>Payment deadline in past</t>
        </is>
      </c>
      <c r="I62" t="inlineStr" s="4">
        <is>
          <t>1. Login as user.
2. Select wisata ticket and visit date.
3. Continue to booking review.
4. Perform the specified checkout/payment action.
5. Observe booking, payment, email, and history behavior.</t>
        </is>
      </c>
      <c r="J62" t="inlineStr" s="4">
        <is>
          <t>Booking status becomes expired and payment is not created.</t>
        </is>
      </c>
      <c r="K62" s="4"/>
      <c r="L62" t="inlineStr" s="4">
        <is>
          <t>Not Run</t>
        </is>
      </c>
      <c r="M62" t="inlineStr" s="4">
        <is>
          <t>P1</t>
        </is>
      </c>
      <c r="N62" t="inlineStr" s="4">
        <is>
          <t>High</t>
        </is>
      </c>
      <c r="O62" t="inlineStr" s="4">
        <is>
          <t>Functional</t>
        </is>
      </c>
      <c r="P62" t="inlineStr" s="4">
        <is>
          <t>Staging / QA</t>
        </is>
      </c>
      <c r="Q62" t="inlineStr" s="4">
        <is>
          <t>Chrome desktop + Android Chrome unless specified</t>
        </is>
      </c>
      <c r="R62" t="inlineStr" s="4">
        <is>
          <t>/wisata/booking/*, /api/wisata/bookings/*</t>
        </is>
      </c>
      <c r="S62" t="inlineStr" s="4">
        <is>
          <t>Maybe</t>
        </is>
      </c>
      <c r="T62" t="inlineStr" s="4">
        <is>
          <t>Yes</t>
        </is>
      </c>
      <c r="U62" t="inlineStr" s="4">
        <is>
          <t>Codex QA Generator</t>
        </is>
      </c>
      <c r="V62" s="4"/>
      <c r="W62" s="4"/>
      <c r="X62" s="4"/>
      <c r="Y62" s="4"/>
    </row>
    <row r="63" ht="54" customHeight="1">
      <c r="A63" t="inlineStr" s="4">
        <is>
          <t>TC-WISATA-BOOKING-017</t>
        </is>
      </c>
      <c r="B63" t="inlineStr" s="4">
        <is>
          <t>TS-WISATA-BOOKING-001</t>
        </is>
      </c>
      <c r="C63" t="inlineStr" s="4">
        <is>
          <t>Wisata Booking</t>
        </is>
      </c>
      <c r="D63" t="inlineStr" s="4">
        <is>
          <t>Checkout / Payment / E-ticket</t>
        </is>
      </c>
      <c r="E63" t="inlineStr" s="4">
        <is>
          <t>Booking email is sent after successful paid order</t>
        </is>
      </c>
      <c r="F63" t="inlineStr" s="4">
        <is>
          <t>User</t>
        </is>
      </c>
      <c r="G63" t="inlineStr" s="4">
        <is>
          <t>User is logged in and verified; live destination and active ticket exist unless negative case.</t>
        </is>
      </c>
      <c r="H63" t="inlineStr" s="4">
        <is>
          <t>Mail configured/faked</t>
        </is>
      </c>
      <c r="I63" t="inlineStr" s="4">
        <is>
          <t>1. Login as user.
2. Select wisata ticket and visit date.
3. Continue to booking review.
4. Perform the specified checkout/payment action.
5. Observe booking, payment, email, and history behavior.</t>
        </is>
      </c>
      <c r="J63" t="inlineStr" s="4">
        <is>
          <t>E-ticket email is queued/sent to user email and contains booking reference.</t>
        </is>
      </c>
      <c r="K63" s="4"/>
      <c r="L63" t="inlineStr" s="4">
        <is>
          <t>Not Run</t>
        </is>
      </c>
      <c r="M63" t="inlineStr" s="4">
        <is>
          <t>P1</t>
        </is>
      </c>
      <c r="N63" t="inlineStr" s="4">
        <is>
          <t>High</t>
        </is>
      </c>
      <c r="O63" t="inlineStr" s="4">
        <is>
          <t>Functional</t>
        </is>
      </c>
      <c r="P63" t="inlineStr" s="4">
        <is>
          <t>Staging / QA</t>
        </is>
      </c>
      <c r="Q63" t="inlineStr" s="4">
        <is>
          <t>Chrome desktop + Android Chrome unless specified</t>
        </is>
      </c>
      <c r="R63" t="inlineStr" s="4">
        <is>
          <t>/wisata/booking/*, /api/wisata/bookings/*</t>
        </is>
      </c>
      <c r="S63" t="inlineStr" s="4">
        <is>
          <t>Maybe</t>
        </is>
      </c>
      <c r="T63" t="inlineStr" s="4">
        <is>
          <t>Yes</t>
        </is>
      </c>
      <c r="U63" t="inlineStr" s="4">
        <is>
          <t>Codex QA Generator</t>
        </is>
      </c>
      <c r="V63" s="4"/>
      <c r="W63" s="4"/>
      <c r="X63" s="4"/>
      <c r="Y63" s="4"/>
    </row>
    <row r="64" ht="54" customHeight="1">
      <c r="A64" t="inlineStr" s="4">
        <is>
          <t>TC-WISATA-BOOKING-018</t>
        </is>
      </c>
      <c r="B64" t="inlineStr" s="4">
        <is>
          <t>TS-WISATA-BOOKING-001</t>
        </is>
      </c>
      <c r="C64" t="inlineStr" s="4">
        <is>
          <t>Wisata Booking</t>
        </is>
      </c>
      <c r="D64" t="inlineStr" s="4">
        <is>
          <t>Checkout / Payment / E-ticket</t>
        </is>
      </c>
      <c r="E64" t="inlineStr" s="4">
        <is>
          <t>Checkout mobile summary remains readable</t>
        </is>
      </c>
      <c r="F64" t="inlineStr" s="4">
        <is>
          <t>User</t>
        </is>
      </c>
      <c r="G64" t="inlineStr" s="4">
        <is>
          <t>User is logged in and verified; live destination and active ticket exist unless negative case.</t>
        </is>
      </c>
      <c r="H64" t="inlineStr" s="4">
        <is>
          <t>390x844 viewport</t>
        </is>
      </c>
      <c r="I64" t="inlineStr" s="4">
        <is>
          <t>1. Login as user.
2. Select wisata ticket and visit date.
3. Continue to booking review.
4. Perform the specified checkout/payment action.
5. Observe booking, payment, email, and history behavior.</t>
        </is>
      </c>
      <c r="J64" t="inlineStr" s="4">
        <is>
          <t>Ticket rows, voucher, total, and payment CTA fit without overlap.</t>
        </is>
      </c>
      <c r="K64" s="4"/>
      <c r="L64" t="inlineStr" s="4">
        <is>
          <t>Not Run</t>
        </is>
      </c>
      <c r="M64" t="inlineStr" s="4">
        <is>
          <t>P1</t>
        </is>
      </c>
      <c r="N64" t="inlineStr" s="4">
        <is>
          <t>High</t>
        </is>
      </c>
      <c r="O64" t="inlineStr" s="4">
        <is>
          <t>Functional</t>
        </is>
      </c>
      <c r="P64" t="inlineStr" s="4">
        <is>
          <t>Staging / QA</t>
        </is>
      </c>
      <c r="Q64" t="inlineStr" s="4">
        <is>
          <t>Chrome desktop + Android Chrome unless specified</t>
        </is>
      </c>
      <c r="R64" t="inlineStr" s="4">
        <is>
          <t>/wisata/booking/*, /api/wisata/bookings/*</t>
        </is>
      </c>
      <c r="S64" t="inlineStr" s="4">
        <is>
          <t>Maybe</t>
        </is>
      </c>
      <c r="T64" t="inlineStr" s="4">
        <is>
          <t>Yes</t>
        </is>
      </c>
      <c r="U64" t="inlineStr" s="4">
        <is>
          <t>Codex QA Generator</t>
        </is>
      </c>
      <c r="V64" s="4"/>
      <c r="W64" s="4"/>
      <c r="X64" s="4"/>
      <c r="Y64" s="4"/>
    </row>
    <row r="65" ht="54" customHeight="1">
      <c r="A65" t="inlineStr" s="4">
        <is>
          <t>TC-WISATA-SCAN-001</t>
        </is>
      </c>
      <c r="B65" t="inlineStr" s="4">
        <is>
          <t>TS-WISATA-SCAN-001</t>
        </is>
      </c>
      <c r="C65" t="inlineStr" s="4">
        <is>
          <t>Wisata Scan</t>
        </is>
      </c>
      <c r="D65" t="inlineStr" s="4">
        <is>
          <t>QR Entry / Ticket Usage</t>
        </is>
      </c>
      <c r="E65" t="inlineStr" s="4">
        <is>
          <t>Mitra QR poster page renders QR tab</t>
        </is>
      </c>
      <c r="F65" t="inlineStr" s="4">
        <is>
          <t>User/Mitra/Admin</t>
        </is>
      </c>
      <c r="G65" t="inlineStr" s="4">
        <is>
          <t>Paid booking and verified mitra QR are available where needed.</t>
        </is>
      </c>
      <c r="H65" t="inlineStr" s="4">
        <is>
          <t>Verified wisata mitra</t>
        </is>
      </c>
      <c r="I65" t="inlineStr" s="4">
        <is>
          <t>1. Open the specified scan/QR page.
2. Perform scan, lookup, use, or download action.
3. Observe ticket ownership, used state, and visual result.</t>
        </is>
      </c>
      <c r="J65" t="inlineStr" s="4">
        <is>
          <t>QR poster appears without exposing raw payload outside intended QR content.</t>
        </is>
      </c>
      <c r="K65" s="4"/>
      <c r="L65" t="inlineStr" s="4">
        <is>
          <t>Not Run</t>
        </is>
      </c>
      <c r="M65" t="inlineStr" s="4">
        <is>
          <t>P1</t>
        </is>
      </c>
      <c r="N65" t="inlineStr" s="4">
        <is>
          <t>High</t>
        </is>
      </c>
      <c r="O65" t="inlineStr" s="4">
        <is>
          <t>Access Control</t>
        </is>
      </c>
      <c r="P65" t="inlineStr" s="4">
        <is>
          <t>Staging / QA</t>
        </is>
      </c>
      <c r="Q65" t="inlineStr" s="4">
        <is>
          <t>Chrome desktop + Android Chrome unless specified</t>
        </is>
      </c>
      <c r="R65" t="inlineStr" s="4">
        <is>
          <t>/tickets/scan, /mitra/wisata/scans, /api/wisata/ticket-scans/*</t>
        </is>
      </c>
      <c r="S65" t="inlineStr" s="4">
        <is>
          <t>Maybe</t>
        </is>
      </c>
      <c r="T65" t="inlineStr" s="4">
        <is>
          <t>Yes</t>
        </is>
      </c>
      <c r="U65" t="inlineStr" s="4">
        <is>
          <t>Codex QA Generator</t>
        </is>
      </c>
      <c r="V65" s="4"/>
      <c r="W65" s="4"/>
      <c r="X65" s="4"/>
      <c r="Y65" s="4"/>
    </row>
    <row r="66" ht="54" customHeight="1">
      <c r="A66" t="inlineStr" s="4">
        <is>
          <t>TC-WISATA-SCAN-002</t>
        </is>
      </c>
      <c r="B66" t="inlineStr" s="4">
        <is>
          <t>TS-WISATA-SCAN-001</t>
        </is>
      </c>
      <c r="C66" t="inlineStr" s="4">
        <is>
          <t>Wisata Scan</t>
        </is>
      </c>
      <c r="D66" t="inlineStr" s="4">
        <is>
          <t>QR Entry / Ticket Usage</t>
        </is>
      </c>
      <c r="E66" t="inlineStr" s="4">
        <is>
          <t>Mitra QR PDF download matches poster content</t>
        </is>
      </c>
      <c r="F66" t="inlineStr" s="4">
        <is>
          <t>User/Mitra/Admin</t>
        </is>
      </c>
      <c r="G66" t="inlineStr" s="4">
        <is>
          <t>Paid booking and verified mitra QR are available where needed.</t>
        </is>
      </c>
      <c r="H66" t="inlineStr" s="4">
        <is>
          <t>Verified wisata mitra</t>
        </is>
      </c>
      <c r="I66" t="inlineStr" s="4">
        <is>
          <t>1. Open the specified scan/QR page.
2. Perform scan, lookup, use, or download action.
3. Observe ticket ownership, used state, and visual result.</t>
        </is>
      </c>
      <c r="J66" t="inlineStr" s="4">
        <is>
          <t>Downloaded PDF contains same QR poster layout/branding as preview.</t>
        </is>
      </c>
      <c r="K66" s="4"/>
      <c r="L66" t="inlineStr" s="4">
        <is>
          <t>Not Run</t>
        </is>
      </c>
      <c r="M66" t="inlineStr" s="4">
        <is>
          <t>P1</t>
        </is>
      </c>
      <c r="N66" t="inlineStr" s="4">
        <is>
          <t>High</t>
        </is>
      </c>
      <c r="O66" t="inlineStr" s="4">
        <is>
          <t>Access Control</t>
        </is>
      </c>
      <c r="P66" t="inlineStr" s="4">
        <is>
          <t>Staging / QA</t>
        </is>
      </c>
      <c r="Q66" t="inlineStr" s="4">
        <is>
          <t>Chrome desktop + Android Chrome unless specified</t>
        </is>
      </c>
      <c r="R66" t="inlineStr" s="4">
        <is>
          <t>/tickets/scan, /mitra/wisata/scans, /api/wisata/ticket-scans/*</t>
        </is>
      </c>
      <c r="S66" t="inlineStr" s="4">
        <is>
          <t>Maybe</t>
        </is>
      </c>
      <c r="T66" t="inlineStr" s="4">
        <is>
          <t>Yes</t>
        </is>
      </c>
      <c r="U66" t="inlineStr" s="4">
        <is>
          <t>Codex QA Generator</t>
        </is>
      </c>
      <c r="V66" s="4"/>
      <c r="W66" s="4"/>
      <c r="X66" s="4"/>
      <c r="Y66" s="4"/>
    </row>
    <row r="67" ht="54" customHeight="1">
      <c r="A67" t="inlineStr" s="4">
        <is>
          <t>TC-WISATA-SCAN-003</t>
        </is>
      </c>
      <c r="B67" t="inlineStr" s="4">
        <is>
          <t>TS-WISATA-SCAN-001</t>
        </is>
      </c>
      <c r="C67" t="inlineStr" s="4">
        <is>
          <t>Wisata Scan</t>
        </is>
      </c>
      <c r="D67" t="inlineStr" s="4">
        <is>
          <t>QR Entry / Ticket Usage</t>
        </is>
      </c>
      <c r="E67" t="inlineStr" s="4">
        <is>
          <t>User scan lookup shows owned paid ticket options</t>
        </is>
      </c>
      <c r="F67" t="inlineStr" s="4">
        <is>
          <t>User/Mitra/Admin</t>
        </is>
      </c>
      <c r="G67" t="inlineStr" s="4">
        <is>
          <t>Paid booking and verified mitra QR are available where needed.</t>
        </is>
      </c>
      <c r="H67" t="inlineStr" s="4">
        <is>
          <t>User owns paid booking for scanned destination</t>
        </is>
      </c>
      <c r="I67" t="inlineStr" s="4">
        <is>
          <t>1. Open the specified scan/QR page.
2. Perform scan, lookup, use, or download action.
3. Observe ticket ownership, used state, and visual result.</t>
        </is>
      </c>
      <c r="J67" t="inlineStr" s="4">
        <is>
          <t>Scan result page lists only owned paid unused ticket items for that destination.</t>
        </is>
      </c>
      <c r="K67" s="4"/>
      <c r="L67" t="inlineStr" s="4">
        <is>
          <t>Not Run</t>
        </is>
      </c>
      <c r="M67" t="inlineStr" s="4">
        <is>
          <t>P1</t>
        </is>
      </c>
      <c r="N67" t="inlineStr" s="4">
        <is>
          <t>High</t>
        </is>
      </c>
      <c r="O67" t="inlineStr" s="4">
        <is>
          <t>Access Control</t>
        </is>
      </c>
      <c r="P67" t="inlineStr" s="4">
        <is>
          <t>Staging / QA</t>
        </is>
      </c>
      <c r="Q67" t="inlineStr" s="4">
        <is>
          <t>Chrome desktop + Android Chrome unless specified</t>
        </is>
      </c>
      <c r="R67" t="inlineStr" s="4">
        <is>
          <t>/tickets/scan, /mitra/wisata/scans, /api/wisata/ticket-scans/*</t>
        </is>
      </c>
      <c r="S67" t="inlineStr" s="4">
        <is>
          <t>Maybe</t>
        </is>
      </c>
      <c r="T67" t="inlineStr" s="4">
        <is>
          <t>Yes</t>
        </is>
      </c>
      <c r="U67" t="inlineStr" s="4">
        <is>
          <t>Codex QA Generator</t>
        </is>
      </c>
      <c r="V67" s="4"/>
      <c r="W67" s="4"/>
      <c r="X67" s="4"/>
      <c r="Y67" s="4"/>
    </row>
    <row r="68" ht="54" customHeight="1">
      <c r="A68" t="inlineStr" s="4">
        <is>
          <t>TC-WISATA-SCAN-004</t>
        </is>
      </c>
      <c r="B68" t="inlineStr" s="4">
        <is>
          <t>TS-WISATA-SCAN-001</t>
        </is>
      </c>
      <c r="C68" t="inlineStr" s="4">
        <is>
          <t>Wisata Scan</t>
        </is>
      </c>
      <c r="D68" t="inlineStr" s="4">
        <is>
          <t>QR Entry / Ticket Usage</t>
        </is>
      </c>
      <c r="E68" t="inlineStr" s="4">
        <is>
          <t>User cannot manually enter scan code</t>
        </is>
      </c>
      <c r="F68" t="inlineStr" s="4">
        <is>
          <t>User/Mitra/Admin</t>
        </is>
      </c>
      <c r="G68" t="inlineStr" s="4">
        <is>
          <t>Paid booking and verified mitra QR are available where needed.</t>
        </is>
      </c>
      <c r="H68" t="inlineStr" s="4">
        <is>
          <t>User opens scan screen</t>
        </is>
      </c>
      <c r="I68" t="inlineStr" s="4">
        <is>
          <t>1. Open the specified scan/QR page.
2. Perform scan, lookup, use, or download action.
3. Observe ticket ownership, used state, and visual result.</t>
        </is>
      </c>
      <c r="J68" t="inlineStr" s="4">
        <is>
          <t>Manual code input is absent; camera scan is the expected interaction.</t>
        </is>
      </c>
      <c r="K68" s="4"/>
      <c r="L68" t="inlineStr" s="4">
        <is>
          <t>Not Run</t>
        </is>
      </c>
      <c r="M68" t="inlineStr" s="4">
        <is>
          <t>P1</t>
        </is>
      </c>
      <c r="N68" t="inlineStr" s="4">
        <is>
          <t>High</t>
        </is>
      </c>
      <c r="O68" t="inlineStr" s="4">
        <is>
          <t>Access Control</t>
        </is>
      </c>
      <c r="P68" t="inlineStr" s="4">
        <is>
          <t>Staging / QA</t>
        </is>
      </c>
      <c r="Q68" t="inlineStr" s="4">
        <is>
          <t>Chrome desktop + Android Chrome unless specified</t>
        </is>
      </c>
      <c r="R68" t="inlineStr" s="4">
        <is>
          <t>/tickets/scan, /mitra/wisata/scans, /api/wisata/ticket-scans/*</t>
        </is>
      </c>
      <c r="S68" t="inlineStr" s="4">
        <is>
          <t>Maybe</t>
        </is>
      </c>
      <c r="T68" t="inlineStr" s="4">
        <is>
          <t>Yes</t>
        </is>
      </c>
      <c r="U68" t="inlineStr" s="4">
        <is>
          <t>Codex QA Generator</t>
        </is>
      </c>
      <c r="V68" s="4"/>
      <c r="W68" s="4"/>
      <c r="X68" s="4"/>
      <c r="Y68" s="4"/>
    </row>
    <row r="69" ht="54" customHeight="1">
      <c r="A69" t="inlineStr" s="4">
        <is>
          <t>TC-WISATA-SCAN-005</t>
        </is>
      </c>
      <c r="B69" t="inlineStr" s="4">
        <is>
          <t>TS-WISATA-SCAN-001</t>
        </is>
      </c>
      <c r="C69" t="inlineStr" s="4">
        <is>
          <t>Wisata Scan</t>
        </is>
      </c>
      <c r="D69" t="inlineStr" s="4">
        <is>
          <t>QR Entry / Ticket Usage</t>
        </is>
      </c>
      <c r="E69" t="inlineStr" s="4">
        <is>
          <t>Use one ticket item successfully</t>
        </is>
      </c>
      <c r="F69" t="inlineStr" s="4">
        <is>
          <t>User/Mitra/Admin</t>
        </is>
      </c>
      <c r="G69" t="inlineStr" s="4">
        <is>
          <t>Paid booking and verified mitra QR are available where needed.</t>
        </is>
      </c>
      <c r="H69" t="inlineStr" s="4">
        <is>
          <t>Owned paid unused booking item</t>
        </is>
      </c>
      <c r="I69" t="inlineStr" s="4">
        <is>
          <t>1. Open the specified scan/QR page.
2. Perform scan, lookup, use, or download action.
3. Observe ticket ownership, used state, and visual result.</t>
        </is>
      </c>
      <c r="J69" t="inlineStr" s="4">
        <is>
          <t>Ticket item is marked used once and success animation/page appears.</t>
        </is>
      </c>
      <c r="K69" s="4"/>
      <c r="L69" t="inlineStr" s="4">
        <is>
          <t>Not Run</t>
        </is>
      </c>
      <c r="M69" t="inlineStr" s="4">
        <is>
          <t>P0</t>
        </is>
      </c>
      <c r="N69" t="inlineStr" s="4">
        <is>
          <t>Critical</t>
        </is>
      </c>
      <c r="O69" t="inlineStr" s="4">
        <is>
          <t>Access Control</t>
        </is>
      </c>
      <c r="P69" t="inlineStr" s="4">
        <is>
          <t>Staging / QA</t>
        </is>
      </c>
      <c r="Q69" t="inlineStr" s="4">
        <is>
          <t>Chrome desktop + Android Chrome unless specified</t>
        </is>
      </c>
      <c r="R69" t="inlineStr" s="4">
        <is>
          <t>/tickets/scan, /mitra/wisata/scans, /api/wisata/ticket-scans/*</t>
        </is>
      </c>
      <c r="S69" t="inlineStr" s="4">
        <is>
          <t>Maybe</t>
        </is>
      </c>
      <c r="T69" t="inlineStr" s="4">
        <is>
          <t>Yes</t>
        </is>
      </c>
      <c r="U69" t="inlineStr" s="4">
        <is>
          <t>Codex QA Generator</t>
        </is>
      </c>
      <c r="V69" s="4"/>
      <c r="W69" s="4"/>
      <c r="X69" s="4"/>
      <c r="Y69" s="4"/>
    </row>
    <row r="70" ht="54" customHeight="1">
      <c r="A70" t="inlineStr" s="4">
        <is>
          <t>TC-WISATA-SCAN-006</t>
        </is>
      </c>
      <c r="B70" t="inlineStr" s="4">
        <is>
          <t>TS-WISATA-SCAN-001</t>
        </is>
      </c>
      <c r="C70" t="inlineStr" s="4">
        <is>
          <t>Wisata Scan</t>
        </is>
      </c>
      <c r="D70" t="inlineStr" s="4">
        <is>
          <t>QR Entry / Ticket Usage</t>
        </is>
      </c>
      <c r="E70" t="inlineStr" s="4">
        <is>
          <t>Use same ticket item twice is rejected</t>
        </is>
      </c>
      <c r="F70" t="inlineStr" s="4">
        <is>
          <t>User/Mitra/Admin</t>
        </is>
      </c>
      <c r="G70" t="inlineStr" s="4">
        <is>
          <t>Paid booking and verified mitra QR are available where needed.</t>
        </is>
      </c>
      <c r="H70" t="inlineStr" s="4">
        <is>
          <t>Already used booking item</t>
        </is>
      </c>
      <c r="I70" t="inlineStr" s="4">
        <is>
          <t>1. Open the specified scan/QR page.
2. Perform scan, lookup, use, or download action.
3. Observe ticket ownership, used state, and visual result.</t>
        </is>
      </c>
      <c r="J70" t="inlineStr" s="4">
        <is>
          <t>System shows failed state and does not increment scan twice.</t>
        </is>
      </c>
      <c r="K70" s="4"/>
      <c r="L70" t="inlineStr" s="4">
        <is>
          <t>Not Run</t>
        </is>
      </c>
      <c r="M70" t="inlineStr" s="4">
        <is>
          <t>P0</t>
        </is>
      </c>
      <c r="N70" t="inlineStr" s="4">
        <is>
          <t>Critical</t>
        </is>
      </c>
      <c r="O70" t="inlineStr" s="4">
        <is>
          <t>Access Control</t>
        </is>
      </c>
      <c r="P70" t="inlineStr" s="4">
        <is>
          <t>Staging / QA</t>
        </is>
      </c>
      <c r="Q70" t="inlineStr" s="4">
        <is>
          <t>Chrome desktop + Android Chrome unless specified</t>
        </is>
      </c>
      <c r="R70" t="inlineStr" s="4">
        <is>
          <t>/tickets/scan, /mitra/wisata/scans, /api/wisata/ticket-scans/*</t>
        </is>
      </c>
      <c r="S70" t="inlineStr" s="4">
        <is>
          <t>Maybe</t>
        </is>
      </c>
      <c r="T70" t="inlineStr" s="4">
        <is>
          <t>Yes</t>
        </is>
      </c>
      <c r="U70" t="inlineStr" s="4">
        <is>
          <t>Codex QA Generator</t>
        </is>
      </c>
      <c r="V70" s="4"/>
      <c r="W70" s="4"/>
      <c r="X70" s="4"/>
      <c r="Y70" s="4"/>
    </row>
    <row r="71" ht="54" customHeight="1">
      <c r="A71" t="inlineStr" s="4">
        <is>
          <t>TC-WISATA-SCAN-007</t>
        </is>
      </c>
      <c r="B71" t="inlineStr" s="4">
        <is>
          <t>TS-WISATA-SCAN-001</t>
        </is>
      </c>
      <c r="C71" t="inlineStr" s="4">
        <is>
          <t>Wisata Scan</t>
        </is>
      </c>
      <c r="D71" t="inlineStr" s="4">
        <is>
          <t>QR Entry / Ticket Usage</t>
        </is>
      </c>
      <c r="E71" t="inlineStr" s="4">
        <is>
          <t>User cannot consume another user ticket</t>
        </is>
      </c>
      <c r="F71" t="inlineStr" s="4">
        <is>
          <t>User/Mitra/Admin</t>
        </is>
      </c>
      <c r="G71" t="inlineStr" s="4">
        <is>
          <t>Paid booking and verified mitra QR are available where needed.</t>
        </is>
      </c>
      <c r="H71" t="inlineStr" s="4">
        <is>
          <t>Ticket id from another user</t>
        </is>
      </c>
      <c r="I71" t="inlineStr" s="4">
        <is>
          <t>1. Open the specified scan/QR page.
2. Perform scan, lookup, use, or download action.
3. Observe ticket ownership, used state, and visual result.</t>
        </is>
      </c>
      <c r="J71" t="inlineStr" s="4">
        <is>
          <t>API/web rejects with not found/forbidden and no ownership leak.</t>
        </is>
      </c>
      <c r="K71" s="4"/>
      <c r="L71" t="inlineStr" s="4">
        <is>
          <t>Not Run</t>
        </is>
      </c>
      <c r="M71" t="inlineStr" s="4">
        <is>
          <t>P0</t>
        </is>
      </c>
      <c r="N71" t="inlineStr" s="4">
        <is>
          <t>Critical</t>
        </is>
      </c>
      <c r="O71" t="inlineStr" s="4">
        <is>
          <t>Access Control</t>
        </is>
      </c>
      <c r="P71" t="inlineStr" s="4">
        <is>
          <t>Staging / QA</t>
        </is>
      </c>
      <c r="Q71" t="inlineStr" s="4">
        <is>
          <t>Chrome desktop + Android Chrome unless specified</t>
        </is>
      </c>
      <c r="R71" t="inlineStr" s="4">
        <is>
          <t>/tickets/scan, /mitra/wisata/scans, /api/wisata/ticket-scans/*</t>
        </is>
      </c>
      <c r="S71" t="inlineStr" s="4">
        <is>
          <t>Maybe</t>
        </is>
      </c>
      <c r="T71" t="inlineStr" s="4">
        <is>
          <t>Yes</t>
        </is>
      </c>
      <c r="U71" t="inlineStr" s="4">
        <is>
          <t>Codex QA Generator</t>
        </is>
      </c>
      <c r="V71" s="4"/>
      <c r="W71" s="4"/>
      <c r="X71" s="4"/>
      <c r="Y71" s="4"/>
    </row>
    <row r="72" ht="54" customHeight="1">
      <c r="A72" t="inlineStr" s="4">
        <is>
          <t>TC-WISATA-SCAN-008</t>
        </is>
      </c>
      <c r="B72" t="inlineStr" s="4">
        <is>
          <t>TS-WISATA-SCAN-001</t>
        </is>
      </c>
      <c r="C72" t="inlineStr" s="4">
        <is>
          <t>Wisata Scan</t>
        </is>
      </c>
      <c r="D72" t="inlineStr" s="4">
        <is>
          <t>QR Entry / Ticket Usage</t>
        </is>
      </c>
      <c r="E72" t="inlineStr" s="4">
        <is>
          <t>Mitra scan history search filters result</t>
        </is>
      </c>
      <c r="F72" t="inlineStr" s="4">
        <is>
          <t>User/Mitra/Admin</t>
        </is>
      </c>
      <c r="G72" t="inlineStr" s="4">
        <is>
          <t>Paid booking and verified mitra QR are available where needed.</t>
        </is>
      </c>
      <c r="H72" t="inlineStr" s="4">
        <is>
          <t>Search by booking/user/ticket keyword</t>
        </is>
      </c>
      <c r="I72" t="inlineStr" s="4">
        <is>
          <t>1. Open the specified scan/QR page.
2. Perform scan, lookup, use, or download action.
3. Observe ticket ownership, used state, and visual result.</t>
        </is>
      </c>
      <c r="J72" t="inlineStr" s="4">
        <is>
          <t>History table filters correctly and keeps QR tab accessible.</t>
        </is>
      </c>
      <c r="K72" s="4"/>
      <c r="L72" t="inlineStr" s="4">
        <is>
          <t>Not Run</t>
        </is>
      </c>
      <c r="M72" t="inlineStr" s="4">
        <is>
          <t>P1</t>
        </is>
      </c>
      <c r="N72" t="inlineStr" s="4">
        <is>
          <t>High</t>
        </is>
      </c>
      <c r="O72" t="inlineStr" s="4">
        <is>
          <t>Access Control</t>
        </is>
      </c>
      <c r="P72" t="inlineStr" s="4">
        <is>
          <t>Staging / QA</t>
        </is>
      </c>
      <c r="Q72" t="inlineStr" s="4">
        <is>
          <t>Chrome desktop + Android Chrome unless specified</t>
        </is>
      </c>
      <c r="R72" t="inlineStr" s="4">
        <is>
          <t>/tickets/scan, /mitra/wisata/scans, /api/wisata/ticket-scans/*</t>
        </is>
      </c>
      <c r="S72" t="inlineStr" s="4">
        <is>
          <t>Maybe</t>
        </is>
      </c>
      <c r="T72" t="inlineStr" s="4">
        <is>
          <t>Yes</t>
        </is>
      </c>
      <c r="U72" t="inlineStr" s="4">
        <is>
          <t>Codex QA Generator</t>
        </is>
      </c>
      <c r="V72" s="4"/>
      <c r="W72" s="4"/>
      <c r="X72" s="4"/>
      <c r="Y72" s="4"/>
    </row>
    <row r="73" ht="54" customHeight="1">
      <c r="A73" t="inlineStr" s="4">
        <is>
          <t>TC-WISATA-SCAN-009</t>
        </is>
      </c>
      <c r="B73" t="inlineStr" s="4">
        <is>
          <t>TS-WISATA-SCAN-001</t>
        </is>
      </c>
      <c r="C73" t="inlineStr" s="4">
        <is>
          <t>Wisata Scan</t>
        </is>
      </c>
      <c r="D73" t="inlineStr" s="4">
        <is>
          <t>QR Entry / Ticket Usage</t>
        </is>
      </c>
      <c r="E73" t="inlineStr" s="4">
        <is>
          <t>Admin scan history filters by date/search</t>
        </is>
      </c>
      <c r="F73" t="inlineStr" s="4">
        <is>
          <t>User/Mitra/Admin</t>
        </is>
      </c>
      <c r="G73" t="inlineStr" s="4">
        <is>
          <t>Paid booking and verified mitra QR are available where needed.</t>
        </is>
      </c>
      <c r="H73" t="inlineStr" s="4">
        <is>
          <t>Admin opens wisata scans</t>
        </is>
      </c>
      <c r="I73" t="inlineStr" s="4">
        <is>
          <t>1. Open the specified scan/QR page.
2. Perform scan, lookup, use, or download action.
3. Observe ticket ownership, used state, and visual result.</t>
        </is>
      </c>
      <c r="J73" t="inlineStr" s="4">
        <is>
          <t>Filter returns matching scan logs with destination/user metadata.</t>
        </is>
      </c>
      <c r="K73" s="4"/>
      <c r="L73" t="inlineStr" s="4">
        <is>
          <t>Not Run</t>
        </is>
      </c>
      <c r="M73" t="inlineStr" s="4">
        <is>
          <t>P1</t>
        </is>
      </c>
      <c r="N73" t="inlineStr" s="4">
        <is>
          <t>High</t>
        </is>
      </c>
      <c r="O73" t="inlineStr" s="4">
        <is>
          <t>Access Control</t>
        </is>
      </c>
      <c r="P73" t="inlineStr" s="4">
        <is>
          <t>Staging / QA</t>
        </is>
      </c>
      <c r="Q73" t="inlineStr" s="4">
        <is>
          <t>Chrome desktop + Android Chrome unless specified</t>
        </is>
      </c>
      <c r="R73" t="inlineStr" s="4">
        <is>
          <t>/tickets/scan, /mitra/wisata/scans, /api/wisata/ticket-scans/*</t>
        </is>
      </c>
      <c r="S73" t="inlineStr" s="4">
        <is>
          <t>Maybe</t>
        </is>
      </c>
      <c r="T73" t="inlineStr" s="4">
        <is>
          <t>Yes</t>
        </is>
      </c>
      <c r="U73" t="inlineStr" s="4">
        <is>
          <t>Codex QA Generator</t>
        </is>
      </c>
      <c r="V73" s="4"/>
      <c r="W73" s="4"/>
      <c r="X73" s="4"/>
      <c r="Y73" s="4"/>
    </row>
    <row r="74" ht="54" customHeight="1">
      <c r="A74" t="inlineStr" s="4">
        <is>
          <t>TC-WISATA-SCAN-010</t>
        </is>
      </c>
      <c r="B74" t="inlineStr" s="4">
        <is>
          <t>TS-WISATA-SCAN-001</t>
        </is>
      </c>
      <c r="C74" t="inlineStr" s="4">
        <is>
          <t>Wisata Scan</t>
        </is>
      </c>
      <c r="D74" t="inlineStr" s="4">
        <is>
          <t>QR Entry / Ticket Usage</t>
        </is>
      </c>
      <c r="E74" t="inlineStr" s="4">
        <is>
          <t>QR remains scannable with Indotix logo</t>
        </is>
      </c>
      <c r="F74" t="inlineStr" s="4">
        <is>
          <t>User/Mitra/Admin</t>
        </is>
      </c>
      <c r="G74" t="inlineStr" s="4">
        <is>
          <t>Paid booking and verified mitra QR are available where needed.</t>
        </is>
      </c>
      <c r="H74" t="inlineStr" s="4">
        <is>
          <t>QR logo enabled in template</t>
        </is>
      </c>
      <c r="I74" t="inlineStr" s="4">
        <is>
          <t>1. Open the specified scan/QR page.
2. Perform scan, lookup, use, or download action.
3. Observe ticket ownership, used state, and visual result.</t>
        </is>
      </c>
      <c r="J74" t="inlineStr" s="4">
        <is>
          <t>Scanner can decode QR despite logo because error correction/quiet zone are preserved.</t>
        </is>
      </c>
      <c r="K74" s="4"/>
      <c r="L74" t="inlineStr" s="4">
        <is>
          <t>Not Run</t>
        </is>
      </c>
      <c r="M74" t="inlineStr" s="4">
        <is>
          <t>P1</t>
        </is>
      </c>
      <c r="N74" t="inlineStr" s="4">
        <is>
          <t>High</t>
        </is>
      </c>
      <c r="O74" t="inlineStr" s="4">
        <is>
          <t>Access Control</t>
        </is>
      </c>
      <c r="P74" t="inlineStr" s="4">
        <is>
          <t>Staging / QA</t>
        </is>
      </c>
      <c r="Q74" t="inlineStr" s="4">
        <is>
          <t>Chrome desktop + Android Chrome unless specified</t>
        </is>
      </c>
      <c r="R74" t="inlineStr" s="4">
        <is>
          <t>/tickets/scan, /mitra/wisata/scans, /api/wisata/ticket-scans/*</t>
        </is>
      </c>
      <c r="S74" t="inlineStr" s="4">
        <is>
          <t>Maybe</t>
        </is>
      </c>
      <c r="T74" t="inlineStr" s="4">
        <is>
          <t>Yes</t>
        </is>
      </c>
      <c r="U74" t="inlineStr" s="4">
        <is>
          <t>Codex QA Generator</t>
        </is>
      </c>
      <c r="V74" s="4"/>
      <c r="W74" s="4"/>
      <c r="X74" s="4"/>
      <c r="Y74" s="4"/>
    </row>
    <row r="75" ht="54" customHeight="1">
      <c r="A75" t="inlineStr" s="4">
        <is>
          <t>TC-USER-001</t>
        </is>
      </c>
      <c r="B75" t="inlineStr" s="4">
        <is>
          <t>TS-USER-001</t>
        </is>
      </c>
      <c r="C75" t="inlineStr" s="4">
        <is>
          <t>User Account</t>
        </is>
      </c>
      <c r="D75" t="inlineStr" s="4">
        <is>
          <t>Settings / Notifications / Reviews / Chat</t>
        </is>
      </c>
      <c r="E75" t="inlineStr" s="4">
        <is>
          <t>Profile update requires name/email/phone</t>
        </is>
      </c>
      <c r="F75" t="inlineStr" s="4">
        <is>
          <t>User</t>
        </is>
      </c>
      <c r="G75" t="inlineStr" s="4">
        <is>
          <t>User is authenticated and verified.</t>
        </is>
      </c>
      <c r="H75" t="inlineStr" s="4">
        <is>
          <t>Valid and invalid profile payloads</t>
        </is>
      </c>
      <c r="I75" t="inlineStr" s="4">
        <is>
          <t>1. Login as user.
2. Open the relevant account page/API.
3. Submit or inspect the described action.
4. Verify state and access boundaries.</t>
        </is>
      </c>
      <c r="J75" t="inlineStr" s="4">
        <is>
          <t>Profile updates succeed with required fields and fail when required contact data is missing.</t>
        </is>
      </c>
      <c r="K75" s="4"/>
      <c r="L75" t="inlineStr" s="4">
        <is>
          <t>Not Run</t>
        </is>
      </c>
      <c r="M75" t="inlineStr" s="4">
        <is>
          <t>P1</t>
        </is>
      </c>
      <c r="N75" t="inlineStr" s="4">
        <is>
          <t>Medium</t>
        </is>
      </c>
      <c r="O75" t="inlineStr" s="4">
        <is>
          <t>Functional</t>
        </is>
      </c>
      <c r="P75" t="inlineStr" s="4">
        <is>
          <t>Staging / QA</t>
        </is>
      </c>
      <c r="Q75" t="inlineStr" s="4">
        <is>
          <t>Chrome desktop + Android Chrome unless specified</t>
        </is>
      </c>
      <c r="R75" t="inlineStr" s="4">
        <is>
          <t>/settings/*, /notifications, /history, /reviews, /chat</t>
        </is>
      </c>
      <c r="S75" t="inlineStr" s="4">
        <is>
          <t>Maybe</t>
        </is>
      </c>
      <c r="T75" t="inlineStr" s="4">
        <is>
          <t>Yes</t>
        </is>
      </c>
      <c r="U75" t="inlineStr" s="4">
        <is>
          <t>Codex QA Generator</t>
        </is>
      </c>
      <c r="V75" s="4"/>
      <c r="W75" s="4"/>
      <c r="X75" s="4"/>
      <c r="Y75" s="4"/>
    </row>
    <row r="76" ht="54" customHeight="1">
      <c r="A76" t="inlineStr" s="4">
        <is>
          <t>TC-USER-002</t>
        </is>
      </c>
      <c r="B76" t="inlineStr" s="4">
        <is>
          <t>TS-USER-001</t>
        </is>
      </c>
      <c r="C76" t="inlineStr" s="4">
        <is>
          <t>User Account</t>
        </is>
      </c>
      <c r="D76" t="inlineStr" s="4">
        <is>
          <t>Settings / Notifications / Reviews / Chat</t>
        </is>
      </c>
      <c r="E76" t="inlineStr" s="4">
        <is>
          <t>Password update requires current password</t>
        </is>
      </c>
      <c r="F76" t="inlineStr" s="4">
        <is>
          <t>User</t>
        </is>
      </c>
      <c r="G76" t="inlineStr" s="4">
        <is>
          <t>User is authenticated and verified.</t>
        </is>
      </c>
      <c r="H76" t="inlineStr" s="4">
        <is>
          <t>Wrong current password</t>
        </is>
      </c>
      <c r="I76" t="inlineStr" s="4">
        <is>
          <t>1. Login as user.
2. Open the relevant account page/API.
3. Submit or inspect the described action.
4. Verify state and access boundaries.</t>
        </is>
      </c>
      <c r="J76" t="inlineStr" s="4">
        <is>
          <t>Password is not changed and error appears.</t>
        </is>
      </c>
      <c r="K76" s="4"/>
      <c r="L76" t="inlineStr" s="4">
        <is>
          <t>Not Run</t>
        </is>
      </c>
      <c r="M76" t="inlineStr" s="4">
        <is>
          <t>P1</t>
        </is>
      </c>
      <c r="N76" t="inlineStr" s="4">
        <is>
          <t>Medium</t>
        </is>
      </c>
      <c r="O76" t="inlineStr" s="4">
        <is>
          <t>Functional</t>
        </is>
      </c>
      <c r="P76" t="inlineStr" s="4">
        <is>
          <t>Staging / QA</t>
        </is>
      </c>
      <c r="Q76" t="inlineStr" s="4">
        <is>
          <t>Chrome desktop + Android Chrome unless specified</t>
        </is>
      </c>
      <c r="R76" t="inlineStr" s="4">
        <is>
          <t>/settings/*, /notifications, /history, /reviews, /chat</t>
        </is>
      </c>
      <c r="S76" t="inlineStr" s="4">
        <is>
          <t>Maybe</t>
        </is>
      </c>
      <c r="T76" t="inlineStr" s="4">
        <is>
          <t>Yes</t>
        </is>
      </c>
      <c r="U76" t="inlineStr" s="4">
        <is>
          <t>Codex QA Generator</t>
        </is>
      </c>
      <c r="V76" s="4"/>
      <c r="W76" s="4"/>
      <c r="X76" s="4"/>
      <c r="Y76" s="4"/>
    </row>
    <row r="77" ht="54" customHeight="1">
      <c r="A77" t="inlineStr" s="4">
        <is>
          <t>TC-USER-003</t>
        </is>
      </c>
      <c r="B77" t="inlineStr" s="4">
        <is>
          <t>TS-USER-001</t>
        </is>
      </c>
      <c r="C77" t="inlineStr" s="4">
        <is>
          <t>User Account</t>
        </is>
      </c>
      <c r="D77" t="inlineStr" s="4">
        <is>
          <t>Settings / Notifications / Reviews / Chat</t>
        </is>
      </c>
      <c r="E77" t="inlineStr" s="4">
        <is>
          <t>Delete account requires password confirmation</t>
        </is>
      </c>
      <c r="F77" t="inlineStr" s="4">
        <is>
          <t>User</t>
        </is>
      </c>
      <c r="G77" t="inlineStr" s="4">
        <is>
          <t>User is authenticated and verified.</t>
        </is>
      </c>
      <c r="H77" t="inlineStr" s="4">
        <is>
          <t>Wrong password</t>
        </is>
      </c>
      <c r="I77" t="inlineStr" s="4">
        <is>
          <t>1. Login as user.
2. Open the relevant account page/API.
3. Submit or inspect the described action.
4. Verify state and access boundaries.</t>
        </is>
      </c>
      <c r="J77" t="inlineStr" s="4">
        <is>
          <t>Account deletion is rejected.</t>
        </is>
      </c>
      <c r="K77" s="4"/>
      <c r="L77" t="inlineStr" s="4">
        <is>
          <t>Not Run</t>
        </is>
      </c>
      <c r="M77" t="inlineStr" s="4">
        <is>
          <t>P1</t>
        </is>
      </c>
      <c r="N77" t="inlineStr" s="4">
        <is>
          <t>Medium</t>
        </is>
      </c>
      <c r="O77" t="inlineStr" s="4">
        <is>
          <t>Functional</t>
        </is>
      </c>
      <c r="P77" t="inlineStr" s="4">
        <is>
          <t>Staging / QA</t>
        </is>
      </c>
      <c r="Q77" t="inlineStr" s="4">
        <is>
          <t>Chrome desktop + Android Chrome unless specified</t>
        </is>
      </c>
      <c r="R77" t="inlineStr" s="4">
        <is>
          <t>/settings/*, /notifications, /history, /reviews, /chat</t>
        </is>
      </c>
      <c r="S77" t="inlineStr" s="4">
        <is>
          <t>Maybe</t>
        </is>
      </c>
      <c r="T77" t="inlineStr" s="4">
        <is>
          <t>Yes</t>
        </is>
      </c>
      <c r="U77" t="inlineStr" s="4">
        <is>
          <t>Codex QA Generator</t>
        </is>
      </c>
      <c r="V77" s="4"/>
      <c r="W77" s="4"/>
      <c r="X77" s="4"/>
      <c r="Y77" s="4"/>
    </row>
    <row r="78" ht="54" customHeight="1">
      <c r="A78" t="inlineStr" s="4">
        <is>
          <t>TC-USER-004</t>
        </is>
      </c>
      <c r="B78" t="inlineStr" s="4">
        <is>
          <t>TS-USER-001</t>
        </is>
      </c>
      <c r="C78" t="inlineStr" s="4">
        <is>
          <t>User Account</t>
        </is>
      </c>
      <c r="D78" t="inlineStr" s="4">
        <is>
          <t>Settings / Notifications / Reviews / Chat</t>
        </is>
      </c>
      <c r="E78" t="inlineStr" s="4">
        <is>
          <t>Notifications list loads user-only items</t>
        </is>
      </c>
      <c r="F78" t="inlineStr" s="4">
        <is>
          <t>User</t>
        </is>
      </c>
      <c r="G78" t="inlineStr" s="4">
        <is>
          <t>User is authenticated and verified.</t>
        </is>
      </c>
      <c r="H78" t="inlineStr" s="4">
        <is>
          <t>User with notifications</t>
        </is>
      </c>
      <c r="I78" t="inlineStr" s="4">
        <is>
          <t>1. Login as user.
2. Open the relevant account page/API.
3. Submit or inspect the described action.
4. Verify state and access boundaries.</t>
        </is>
      </c>
      <c r="J78" t="inlineStr" s="4">
        <is>
          <t>Only current user notifications are shown.</t>
        </is>
      </c>
      <c r="K78" s="4"/>
      <c r="L78" t="inlineStr" s="4">
        <is>
          <t>Not Run</t>
        </is>
      </c>
      <c r="M78" t="inlineStr" s="4">
        <is>
          <t>P1</t>
        </is>
      </c>
      <c r="N78" t="inlineStr" s="4">
        <is>
          <t>Medium</t>
        </is>
      </c>
      <c r="O78" t="inlineStr" s="4">
        <is>
          <t>Functional</t>
        </is>
      </c>
      <c r="P78" t="inlineStr" s="4">
        <is>
          <t>Staging / QA</t>
        </is>
      </c>
      <c r="Q78" t="inlineStr" s="4">
        <is>
          <t>Chrome desktop + Android Chrome unless specified</t>
        </is>
      </c>
      <c r="R78" t="inlineStr" s="4">
        <is>
          <t>/settings/*, /notifications, /history, /reviews, /chat</t>
        </is>
      </c>
      <c r="S78" t="inlineStr" s="4">
        <is>
          <t>Maybe</t>
        </is>
      </c>
      <c r="T78" t="inlineStr" s="4">
        <is>
          <t>Yes</t>
        </is>
      </c>
      <c r="U78" t="inlineStr" s="4">
        <is>
          <t>Codex QA Generator</t>
        </is>
      </c>
      <c r="V78" s="4"/>
      <c r="W78" s="4"/>
      <c r="X78" s="4"/>
      <c r="Y78" s="4"/>
    </row>
    <row r="79" ht="54" customHeight="1">
      <c r="A79" t="inlineStr" s="4">
        <is>
          <t>TC-USER-005</t>
        </is>
      </c>
      <c r="B79" t="inlineStr" s="4">
        <is>
          <t>TS-USER-001</t>
        </is>
      </c>
      <c r="C79" t="inlineStr" s="4">
        <is>
          <t>User Account</t>
        </is>
      </c>
      <c r="D79" t="inlineStr" s="4">
        <is>
          <t>Settings / Notifications / Reviews / Chat</t>
        </is>
      </c>
      <c r="E79" t="inlineStr" s="4">
        <is>
          <t>Mark all notifications read</t>
        </is>
      </c>
      <c r="F79" t="inlineStr" s="4">
        <is>
          <t>User</t>
        </is>
      </c>
      <c r="G79" t="inlineStr" s="4">
        <is>
          <t>User is authenticated and verified.</t>
        </is>
      </c>
      <c r="H79" t="inlineStr" s="4">
        <is>
          <t>Unread notifications exist</t>
        </is>
      </c>
      <c r="I79" t="inlineStr" s="4">
        <is>
          <t>1. Login as user.
2. Open the relevant account page/API.
3. Submit or inspect the described action.
4. Verify state and access boundaries.</t>
        </is>
      </c>
      <c r="J79" t="inlineStr" s="4">
        <is>
          <t>Unread count becomes zero.</t>
        </is>
      </c>
      <c r="K79" s="4"/>
      <c r="L79" t="inlineStr" s="4">
        <is>
          <t>Not Run</t>
        </is>
      </c>
      <c r="M79" t="inlineStr" s="4">
        <is>
          <t>P1</t>
        </is>
      </c>
      <c r="N79" t="inlineStr" s="4">
        <is>
          <t>Medium</t>
        </is>
      </c>
      <c r="O79" t="inlineStr" s="4">
        <is>
          <t>Functional</t>
        </is>
      </c>
      <c r="P79" t="inlineStr" s="4">
        <is>
          <t>Staging / QA</t>
        </is>
      </c>
      <c r="Q79" t="inlineStr" s="4">
        <is>
          <t>Chrome desktop + Android Chrome unless specified</t>
        </is>
      </c>
      <c r="R79" t="inlineStr" s="4">
        <is>
          <t>/settings/*, /notifications, /history, /reviews, /chat</t>
        </is>
      </c>
      <c r="S79" t="inlineStr" s="4">
        <is>
          <t>Maybe</t>
        </is>
      </c>
      <c r="T79" t="inlineStr" s="4">
        <is>
          <t>Yes</t>
        </is>
      </c>
      <c r="U79" t="inlineStr" s="4">
        <is>
          <t>Codex QA Generator</t>
        </is>
      </c>
      <c r="V79" s="4"/>
      <c r="W79" s="4"/>
      <c r="X79" s="4"/>
      <c r="Y79" s="4"/>
    </row>
    <row r="80" ht="54" customHeight="1">
      <c r="A80" t="inlineStr" s="4">
        <is>
          <t>TC-USER-006</t>
        </is>
      </c>
      <c r="B80" t="inlineStr" s="4">
        <is>
          <t>TS-USER-001</t>
        </is>
      </c>
      <c r="C80" t="inlineStr" s="4">
        <is>
          <t>User Account</t>
        </is>
      </c>
      <c r="D80" t="inlineStr" s="4">
        <is>
          <t>Settings / Notifications / Reviews / Chat</t>
        </is>
      </c>
      <c r="E80" t="inlineStr" s="4">
        <is>
          <t>History detail denies other user booking</t>
        </is>
      </c>
      <c r="F80" t="inlineStr" s="4">
        <is>
          <t>User</t>
        </is>
      </c>
      <c r="G80" t="inlineStr" s="4">
        <is>
          <t>User is authenticated and verified.</t>
        </is>
      </c>
      <c r="H80" t="inlineStr" s="4">
        <is>
          <t>Booking id from another user</t>
        </is>
      </c>
      <c r="I80" t="inlineStr" s="4">
        <is>
          <t>1. Login as user.
2. Open the relevant account page/API.
3. Submit or inspect the described action.
4. Verify state and access boundaries.</t>
        </is>
      </c>
      <c r="J80" t="inlineStr" s="4">
        <is>
          <t>No data is exposed.</t>
        </is>
      </c>
      <c r="K80" s="4"/>
      <c r="L80" t="inlineStr" s="4">
        <is>
          <t>Not Run</t>
        </is>
      </c>
      <c r="M80" t="inlineStr" s="4">
        <is>
          <t>P1</t>
        </is>
      </c>
      <c r="N80" t="inlineStr" s="4">
        <is>
          <t>High</t>
        </is>
      </c>
      <c r="O80" t="inlineStr" s="4">
        <is>
          <t>Functional</t>
        </is>
      </c>
      <c r="P80" t="inlineStr" s="4">
        <is>
          <t>Staging / QA</t>
        </is>
      </c>
      <c r="Q80" t="inlineStr" s="4">
        <is>
          <t>Chrome desktop + Android Chrome unless specified</t>
        </is>
      </c>
      <c r="R80" t="inlineStr" s="4">
        <is>
          <t>/settings/*, /notifications, /history, /reviews, /chat</t>
        </is>
      </c>
      <c r="S80" t="inlineStr" s="4">
        <is>
          <t>Maybe</t>
        </is>
      </c>
      <c r="T80" t="inlineStr" s="4">
        <is>
          <t>Yes</t>
        </is>
      </c>
      <c r="U80" t="inlineStr" s="4">
        <is>
          <t>Codex QA Generator</t>
        </is>
      </c>
      <c r="V80" s="4"/>
      <c r="W80" s="4"/>
      <c r="X80" s="4"/>
      <c r="Y80" s="4"/>
    </row>
    <row r="81" ht="54" customHeight="1">
      <c r="A81" t="inlineStr" s="4">
        <is>
          <t>TC-USER-007</t>
        </is>
      </c>
      <c r="B81" t="inlineStr" s="4">
        <is>
          <t>TS-USER-001</t>
        </is>
      </c>
      <c r="C81" t="inlineStr" s="4">
        <is>
          <t>User Account</t>
        </is>
      </c>
      <c r="D81" t="inlineStr" s="4">
        <is>
          <t>Settings / Notifications / Reviews / Chat</t>
        </is>
      </c>
      <c r="E81" t="inlineStr" s="4">
        <is>
          <t>Submit valid review for eligible booking</t>
        </is>
      </c>
      <c r="F81" t="inlineStr" s="4">
        <is>
          <t>User</t>
        </is>
      </c>
      <c r="G81" t="inlineStr" s="4">
        <is>
          <t>User is authenticated and verified.</t>
        </is>
      </c>
      <c r="H81" t="inlineStr" s="4">
        <is>
          <t>Paid/used eligible booking</t>
        </is>
      </c>
      <c r="I81" t="inlineStr" s="4">
        <is>
          <t>1. Login as user.
2. Open the relevant account page/API.
3. Submit or inspect the described action.
4. Verify state and access boundaries.</t>
        </is>
      </c>
      <c r="J81" t="inlineStr" s="4">
        <is>
          <t>Review is stored and media validation is respected.</t>
        </is>
      </c>
      <c r="K81" s="4"/>
      <c r="L81" t="inlineStr" s="4">
        <is>
          <t>Not Run</t>
        </is>
      </c>
      <c r="M81" t="inlineStr" s="4">
        <is>
          <t>P1</t>
        </is>
      </c>
      <c r="N81" t="inlineStr" s="4">
        <is>
          <t>Medium</t>
        </is>
      </c>
      <c r="O81" t="inlineStr" s="4">
        <is>
          <t>Functional</t>
        </is>
      </c>
      <c r="P81" t="inlineStr" s="4">
        <is>
          <t>Staging / QA</t>
        </is>
      </c>
      <c r="Q81" t="inlineStr" s="4">
        <is>
          <t>Chrome desktop + Android Chrome unless specified</t>
        </is>
      </c>
      <c r="R81" t="inlineStr" s="4">
        <is>
          <t>/settings/*, /notifications, /history, /reviews, /chat</t>
        </is>
      </c>
      <c r="S81" t="inlineStr" s="4">
        <is>
          <t>Maybe</t>
        </is>
      </c>
      <c r="T81" t="inlineStr" s="4">
        <is>
          <t>Yes</t>
        </is>
      </c>
      <c r="U81" t="inlineStr" s="4">
        <is>
          <t>Codex QA Generator</t>
        </is>
      </c>
      <c r="V81" s="4"/>
      <c r="W81" s="4"/>
      <c r="X81" s="4"/>
      <c r="Y81" s="4"/>
    </row>
    <row r="82" ht="54" customHeight="1">
      <c r="A82" t="inlineStr" s="4">
        <is>
          <t>TC-USER-008</t>
        </is>
      </c>
      <c r="B82" t="inlineStr" s="4">
        <is>
          <t>TS-USER-001</t>
        </is>
      </c>
      <c r="C82" t="inlineStr" s="4">
        <is>
          <t>User Account</t>
        </is>
      </c>
      <c r="D82" t="inlineStr" s="4">
        <is>
          <t>Settings / Notifications / Reviews / Chat</t>
        </is>
      </c>
      <c r="E82" t="inlineStr" s="4">
        <is>
          <t>Review upload rejects executable payload</t>
        </is>
      </c>
      <c r="F82" t="inlineStr" s="4">
        <is>
          <t>User</t>
        </is>
      </c>
      <c r="G82" t="inlineStr" s="4">
        <is>
          <t>User is authenticated and verified.</t>
        </is>
      </c>
      <c r="H82" t="inlineStr" s="4">
        <is>
          <t>File disguised as image/executable</t>
        </is>
      </c>
      <c r="I82" t="inlineStr" s="4">
        <is>
          <t>1. Login as user.
2. Open the relevant account page/API.
3. Submit or inspect the described action.
4. Verify state and access boundaries.</t>
        </is>
      </c>
      <c r="J82" t="inlineStr" s="4">
        <is>
          <t>Upload is rejected.</t>
        </is>
      </c>
      <c r="K82" s="4"/>
      <c r="L82" t="inlineStr" s="4">
        <is>
          <t>Not Run</t>
        </is>
      </c>
      <c r="M82" t="inlineStr" s="4">
        <is>
          <t>P1</t>
        </is>
      </c>
      <c r="N82" t="inlineStr" s="4">
        <is>
          <t>High</t>
        </is>
      </c>
      <c r="O82" t="inlineStr" s="4">
        <is>
          <t>Functional</t>
        </is>
      </c>
      <c r="P82" t="inlineStr" s="4">
        <is>
          <t>Staging / QA</t>
        </is>
      </c>
      <c r="Q82" t="inlineStr" s="4">
        <is>
          <t>Chrome desktop + Android Chrome unless specified</t>
        </is>
      </c>
      <c r="R82" t="inlineStr" s="4">
        <is>
          <t>/settings/*, /notifications, /history, /reviews, /chat</t>
        </is>
      </c>
      <c r="S82" t="inlineStr" s="4">
        <is>
          <t>Maybe</t>
        </is>
      </c>
      <c r="T82" t="inlineStr" s="4">
        <is>
          <t>Yes</t>
        </is>
      </c>
      <c r="U82" t="inlineStr" s="4">
        <is>
          <t>Codex QA Generator</t>
        </is>
      </c>
      <c r="V82" s="4"/>
      <c r="W82" s="4"/>
      <c r="X82" s="4"/>
      <c r="Y82" s="4"/>
    </row>
    <row r="83" ht="54" customHeight="1">
      <c r="A83" t="inlineStr" s="4">
        <is>
          <t>TC-USER-009</t>
        </is>
      </c>
      <c r="B83" t="inlineStr" s="4">
        <is>
          <t>TS-USER-001</t>
        </is>
      </c>
      <c r="C83" t="inlineStr" s="4">
        <is>
          <t>User Account</t>
        </is>
      </c>
      <c r="D83" t="inlineStr" s="4">
        <is>
          <t>Settings / Notifications / Reviews / Chat</t>
        </is>
      </c>
      <c r="E83" t="inlineStr" s="4">
        <is>
          <t>Start chat conversation from authenticated user</t>
        </is>
      </c>
      <c r="F83" t="inlineStr" s="4">
        <is>
          <t>User</t>
        </is>
      </c>
      <c r="G83" t="inlineStr" s="4">
        <is>
          <t>User is authenticated and verified.</t>
        </is>
      </c>
      <c r="H83" t="inlineStr" s="4">
        <is>
          <t>Valid support/start context</t>
        </is>
      </c>
      <c r="I83" t="inlineStr" s="4">
        <is>
          <t>1. Login as user.
2. Open the relevant account page/API.
3. Submit or inspect the described action.
4. Verify state and access boundaries.</t>
        </is>
      </c>
      <c r="J83" t="inlineStr" s="4">
        <is>
          <t>Conversation is created or reused, messages can be sent, unread state updates.</t>
        </is>
      </c>
      <c r="K83" s="4"/>
      <c r="L83" t="inlineStr" s="4">
        <is>
          <t>Not Run</t>
        </is>
      </c>
      <c r="M83" t="inlineStr" s="4">
        <is>
          <t>P1</t>
        </is>
      </c>
      <c r="N83" t="inlineStr" s="4">
        <is>
          <t>Medium</t>
        </is>
      </c>
      <c r="O83" t="inlineStr" s="4">
        <is>
          <t>Functional</t>
        </is>
      </c>
      <c r="P83" t="inlineStr" s="4">
        <is>
          <t>Staging / QA</t>
        </is>
      </c>
      <c r="Q83" t="inlineStr" s="4">
        <is>
          <t>Chrome desktop + Android Chrome unless specified</t>
        </is>
      </c>
      <c r="R83" t="inlineStr" s="4">
        <is>
          <t>/settings/*, /notifications, /history, /reviews, /chat</t>
        </is>
      </c>
      <c r="S83" t="inlineStr" s="4">
        <is>
          <t>Maybe</t>
        </is>
      </c>
      <c r="T83" t="inlineStr" s="4">
        <is>
          <t>Yes</t>
        </is>
      </c>
      <c r="U83" t="inlineStr" s="4">
        <is>
          <t>Codex QA Generator</t>
        </is>
      </c>
      <c r="V83" s="4"/>
      <c r="W83" s="4"/>
      <c r="X83" s="4"/>
      <c r="Y83" s="4"/>
    </row>
    <row r="84" ht="54" customHeight="1">
      <c r="A84" t="inlineStr" s="4">
        <is>
          <t>TC-USER-010</t>
        </is>
      </c>
      <c r="B84" t="inlineStr" s="4">
        <is>
          <t>TS-USER-001</t>
        </is>
      </c>
      <c r="C84" t="inlineStr" s="4">
        <is>
          <t>User Account</t>
        </is>
      </c>
      <c r="D84" t="inlineStr" s="4">
        <is>
          <t>Settings / Notifications / Reviews / Chat</t>
        </is>
      </c>
      <c r="E84" t="inlineStr" s="4">
        <is>
          <t>Public delete-account page renders safely</t>
        </is>
      </c>
      <c r="F84" t="inlineStr" s="4">
        <is>
          <t>User</t>
        </is>
      </c>
      <c r="G84" t="inlineStr" s="4">
        <is>
          <t>User is authenticated and verified.</t>
        </is>
      </c>
      <c r="H84" t="inlineStr" s="4">
        <is>
          <t>Open /delete-account</t>
        </is>
      </c>
      <c r="I84" t="inlineStr" s="4">
        <is>
          <t>1. Login as user.
2. Open the relevant account page/API.
3. Submit or inspect the described action.
4. Verify state and access boundaries.</t>
        </is>
      </c>
      <c r="J84" t="inlineStr" s="4">
        <is>
          <t>Deletion instructions/content load without requiring sensitive credentials in URL.</t>
        </is>
      </c>
      <c r="K84" s="4"/>
      <c r="L84" t="inlineStr" s="4">
        <is>
          <t>Not Run</t>
        </is>
      </c>
      <c r="M84" t="inlineStr" s="4">
        <is>
          <t>P1</t>
        </is>
      </c>
      <c r="N84" t="inlineStr" s="4">
        <is>
          <t>Medium</t>
        </is>
      </c>
      <c r="O84" t="inlineStr" s="4">
        <is>
          <t>Functional</t>
        </is>
      </c>
      <c r="P84" t="inlineStr" s="4">
        <is>
          <t>Staging / QA</t>
        </is>
      </c>
      <c r="Q84" t="inlineStr" s="4">
        <is>
          <t>Chrome desktop + Android Chrome unless specified</t>
        </is>
      </c>
      <c r="R84" t="inlineStr" s="4">
        <is>
          <t>/settings/*, /notifications, /history, /reviews, /chat</t>
        </is>
      </c>
      <c r="S84" t="inlineStr" s="4">
        <is>
          <t>Maybe</t>
        </is>
      </c>
      <c r="T84" t="inlineStr" s="4">
        <is>
          <t>Yes</t>
        </is>
      </c>
      <c r="U84" t="inlineStr" s="4">
        <is>
          <t>Codex QA Generator</t>
        </is>
      </c>
      <c r="V84" s="4"/>
      <c r="W84" s="4"/>
      <c r="X84" s="4"/>
      <c r="Y84" s="4"/>
    </row>
    <row r="85" ht="54" customHeight="1">
      <c r="A85" t="inlineStr" s="4">
        <is>
          <t>TC-ADMIN-CONTENT-001</t>
        </is>
      </c>
      <c r="B85" t="inlineStr" s="4">
        <is>
          <t>TS-ADMIN-CONTENT-001</t>
        </is>
      </c>
      <c r="C85" t="inlineStr" s="4">
        <is>
          <t>Admin Public Content</t>
        </is>
      </c>
      <c r="D85" t="inlineStr" s="4">
        <is>
          <t>Banner</t>
        </is>
      </c>
      <c r="E85" t="inlineStr" s="4">
        <is>
          <t>Admin can manage Banner</t>
        </is>
      </c>
      <c r="F85" t="inlineStr" s="4">
        <is>
          <t>Admin</t>
        </is>
      </c>
      <c r="G85" t="inlineStr" s="4">
        <is>
          <t>Admin is authenticated and has public content permission.</t>
        </is>
      </c>
      <c r="H85" t="inlineStr" s="4">
        <is>
          <t>image/video/gif media, sort order, active state</t>
        </is>
      </c>
      <c r="I85" t="inlineStr" s="4">
        <is>
          <t>1. Open /admin/public/banners.
2. Create or edit Banner using valid data.
3. Save.
4. Reopen public/admin page to verify persistence.</t>
        </is>
      </c>
      <c r="J85" t="inlineStr" s="4">
        <is>
          <t>Banner is saved, visible where active, and sorted/scoped according to configuration.</t>
        </is>
      </c>
      <c r="K85" s="4"/>
      <c r="L85" t="inlineStr" s="4">
        <is>
          <t>Not Run</t>
        </is>
      </c>
      <c r="M85" t="inlineStr" s="4">
        <is>
          <t>P1</t>
        </is>
      </c>
      <c r="N85" t="inlineStr" s="4">
        <is>
          <t>High</t>
        </is>
      </c>
      <c r="O85" t="inlineStr" s="4">
        <is>
          <t>Functional</t>
        </is>
      </c>
      <c r="P85" t="inlineStr" s="4">
        <is>
          <t>Staging / QA</t>
        </is>
      </c>
      <c r="Q85" t="inlineStr" s="4">
        <is>
          <t>Chrome desktop + Android Chrome unless specified</t>
        </is>
      </c>
      <c r="R85" t="inlineStr" s="4">
        <is>
          <t>/admin/public/banners</t>
        </is>
      </c>
      <c r="S85" t="inlineStr" s="4">
        <is>
          <t>Maybe</t>
        </is>
      </c>
      <c r="T85" t="inlineStr" s="4">
        <is>
          <t>Yes</t>
        </is>
      </c>
      <c r="U85" t="inlineStr" s="4">
        <is>
          <t>Codex QA Generator</t>
        </is>
      </c>
      <c r="V85" s="4"/>
      <c r="W85" s="4"/>
      <c r="X85" s="4"/>
      <c r="Y85" s="4"/>
    </row>
    <row r="86" ht="54" customHeight="1">
      <c r="A86" t="inlineStr" s="4">
        <is>
          <t>TC-ADMIN-CONTENT-101</t>
        </is>
      </c>
      <c r="B86" t="inlineStr" s="4">
        <is>
          <t>TS-ADMIN-CONTENT-001</t>
        </is>
      </c>
      <c r="C86" t="inlineStr" s="4">
        <is>
          <t>Admin Public Content</t>
        </is>
      </c>
      <c r="D86" t="inlineStr" s="4">
        <is>
          <t>Banner</t>
        </is>
      </c>
      <c r="E86" t="inlineStr" s="4">
        <is>
          <t>Banner rejects invalid or oversized input</t>
        </is>
      </c>
      <c r="F86" t="inlineStr" s="4">
        <is>
          <t>Admin</t>
        </is>
      </c>
      <c r="G86" t="inlineStr" s="4">
        <is>
          <t>Admin is authenticated and has public content permission.</t>
        </is>
      </c>
      <c r="H86" t="inlineStr" s="4">
        <is>
          <t>Invalid file type, missing required title/name, or text beyond configured max.</t>
        </is>
      </c>
      <c r="I86" t="inlineStr" s="4">
        <is>
          <t>1. Open /admin/public/banners.
2. Submit invalid Banner data.
3. Observe validation and existing data.</t>
        </is>
      </c>
      <c r="J86" t="inlineStr" s="4">
        <is>
          <t>Validation error appears and previous valid data/file remains unchanged.</t>
        </is>
      </c>
      <c r="K86" s="4"/>
      <c r="L86" t="inlineStr" s="4">
        <is>
          <t>Not Run</t>
        </is>
      </c>
      <c r="M86" t="inlineStr" s="4">
        <is>
          <t>P1</t>
        </is>
      </c>
      <c r="N86" t="inlineStr" s="4">
        <is>
          <t>Medium</t>
        </is>
      </c>
      <c r="O86" t="inlineStr" s="4">
        <is>
          <t>Validation</t>
        </is>
      </c>
      <c r="P86" t="inlineStr" s="4">
        <is>
          <t>Staging / QA</t>
        </is>
      </c>
      <c r="Q86" t="inlineStr" s="4">
        <is>
          <t>Chrome desktop + Android Chrome unless specified</t>
        </is>
      </c>
      <c r="R86" t="inlineStr" s="4">
        <is>
          <t>/admin/public/banners</t>
        </is>
      </c>
      <c r="S86" t="inlineStr" s="4">
        <is>
          <t>Maybe</t>
        </is>
      </c>
      <c r="T86" t="inlineStr" s="4">
        <is>
          <t>Yes</t>
        </is>
      </c>
      <c r="U86" t="inlineStr" s="4">
        <is>
          <t>Codex QA Generator</t>
        </is>
      </c>
      <c r="V86" s="4"/>
      <c r="W86" s="4"/>
      <c r="X86" s="4"/>
      <c r="Y86" s="4"/>
    </row>
    <row r="87" ht="54" customHeight="1">
      <c r="A87" t="inlineStr" s="4">
        <is>
          <t>TC-ADMIN-CONTENT-002</t>
        </is>
      </c>
      <c r="B87" t="inlineStr" s="4">
        <is>
          <t>TS-ADMIN-CONTENT-001</t>
        </is>
      </c>
      <c r="C87" t="inlineStr" s="4">
        <is>
          <t>Admin Public Content</t>
        </is>
      </c>
      <c r="D87" t="inlineStr" s="4">
        <is>
          <t>Partner Kami</t>
        </is>
      </c>
      <c r="E87" t="inlineStr" s="4">
        <is>
          <t>Admin can manage Partner Kami</t>
        </is>
      </c>
      <c r="F87" t="inlineStr" s="4">
        <is>
          <t>Admin</t>
        </is>
      </c>
      <c r="G87" t="inlineStr" s="4">
        <is>
          <t>Admin is authenticated and has public content permission.</t>
        </is>
      </c>
      <c r="H87" t="inlineStr" s="4">
        <is>
          <t>logo image, name, URL, active state</t>
        </is>
      </c>
      <c r="I87" t="inlineStr" s="4">
        <is>
          <t>1. Open /admin/public/partners.
2. Create or edit Partner Kami using valid data.
3. Save.
4. Reopen public/admin page to verify persistence.</t>
        </is>
      </c>
      <c r="J87" t="inlineStr" s="4">
        <is>
          <t>Partner Kami is saved, visible where active, and sorted/scoped according to configuration.</t>
        </is>
      </c>
      <c r="K87" s="4"/>
      <c r="L87" t="inlineStr" s="4">
        <is>
          <t>Not Run</t>
        </is>
      </c>
      <c r="M87" t="inlineStr" s="4">
        <is>
          <t>P1</t>
        </is>
      </c>
      <c r="N87" t="inlineStr" s="4">
        <is>
          <t>High</t>
        </is>
      </c>
      <c r="O87" t="inlineStr" s="4">
        <is>
          <t>Functional</t>
        </is>
      </c>
      <c r="P87" t="inlineStr" s="4">
        <is>
          <t>Staging / QA</t>
        </is>
      </c>
      <c r="Q87" t="inlineStr" s="4">
        <is>
          <t>Chrome desktop + Android Chrome unless specified</t>
        </is>
      </c>
      <c r="R87" t="inlineStr" s="4">
        <is>
          <t>/admin/public/partners</t>
        </is>
      </c>
      <c r="S87" t="inlineStr" s="4">
        <is>
          <t>Maybe</t>
        </is>
      </c>
      <c r="T87" t="inlineStr" s="4">
        <is>
          <t>Yes</t>
        </is>
      </c>
      <c r="U87" t="inlineStr" s="4">
        <is>
          <t>Codex QA Generator</t>
        </is>
      </c>
      <c r="V87" s="4"/>
      <c r="W87" s="4"/>
      <c r="X87" s="4"/>
      <c r="Y87" s="4"/>
    </row>
    <row r="88" ht="54" customHeight="1">
      <c r="A88" t="inlineStr" s="4">
        <is>
          <t>TC-ADMIN-CONTENT-102</t>
        </is>
      </c>
      <c r="B88" t="inlineStr" s="4">
        <is>
          <t>TS-ADMIN-CONTENT-001</t>
        </is>
      </c>
      <c r="C88" t="inlineStr" s="4">
        <is>
          <t>Admin Public Content</t>
        </is>
      </c>
      <c r="D88" t="inlineStr" s="4">
        <is>
          <t>Partner Kami</t>
        </is>
      </c>
      <c r="E88" t="inlineStr" s="4">
        <is>
          <t>Partner Kami rejects invalid or oversized input</t>
        </is>
      </c>
      <c r="F88" t="inlineStr" s="4">
        <is>
          <t>Admin</t>
        </is>
      </c>
      <c r="G88" t="inlineStr" s="4">
        <is>
          <t>Admin is authenticated and has public content permission.</t>
        </is>
      </c>
      <c r="H88" t="inlineStr" s="4">
        <is>
          <t>Invalid file type, missing required title/name, or text beyond configured max.</t>
        </is>
      </c>
      <c r="I88" t="inlineStr" s="4">
        <is>
          <t>1. Open /admin/public/partners.
2. Submit invalid Partner Kami data.
3. Observe validation and existing data.</t>
        </is>
      </c>
      <c r="J88" t="inlineStr" s="4">
        <is>
          <t>Validation error appears and previous valid data/file remains unchanged.</t>
        </is>
      </c>
      <c r="K88" s="4"/>
      <c r="L88" t="inlineStr" s="4">
        <is>
          <t>Not Run</t>
        </is>
      </c>
      <c r="M88" t="inlineStr" s="4">
        <is>
          <t>P1</t>
        </is>
      </c>
      <c r="N88" t="inlineStr" s="4">
        <is>
          <t>Medium</t>
        </is>
      </c>
      <c r="O88" t="inlineStr" s="4">
        <is>
          <t>Validation</t>
        </is>
      </c>
      <c r="P88" t="inlineStr" s="4">
        <is>
          <t>Staging / QA</t>
        </is>
      </c>
      <c r="Q88" t="inlineStr" s="4">
        <is>
          <t>Chrome desktop + Android Chrome unless specified</t>
        </is>
      </c>
      <c r="R88" t="inlineStr" s="4">
        <is>
          <t>/admin/public/partners</t>
        </is>
      </c>
      <c r="S88" t="inlineStr" s="4">
        <is>
          <t>Maybe</t>
        </is>
      </c>
      <c r="T88" t="inlineStr" s="4">
        <is>
          <t>Yes</t>
        </is>
      </c>
      <c r="U88" t="inlineStr" s="4">
        <is>
          <t>Codex QA Generator</t>
        </is>
      </c>
      <c r="V88" s="4"/>
      <c r="W88" s="4"/>
      <c r="X88" s="4"/>
      <c r="Y88" s="4"/>
    </row>
    <row r="89" ht="54" customHeight="1">
      <c r="A89" t="inlineStr" s="4">
        <is>
          <t>TC-ADMIN-CONTENT-003</t>
        </is>
      </c>
      <c r="B89" t="inlineStr" s="4">
        <is>
          <t>TS-ADMIN-CONTENT-001</t>
        </is>
      </c>
      <c r="C89" t="inlineStr" s="4">
        <is>
          <t>Admin Public Content</t>
        </is>
      </c>
      <c r="D89" t="inlineStr" s="4">
        <is>
          <t>Part Of Logo</t>
        </is>
      </c>
      <c r="E89" t="inlineStr" s="4">
        <is>
          <t>Admin can manage Part Of Logo</t>
        </is>
      </c>
      <c r="F89" t="inlineStr" s="4">
        <is>
          <t>Admin</t>
        </is>
      </c>
      <c r="G89" t="inlineStr" s="4">
        <is>
          <t>Admin is authenticated and has public content permission.</t>
        </is>
      </c>
      <c r="H89" t="inlineStr" s="4">
        <is>
          <t>logo table modal with image, name, active state</t>
        </is>
      </c>
      <c r="I89" t="inlineStr" s="4">
        <is>
          <t>1. Open /admin/public/home.
2. Create or edit Part Of Logo using valid data.
3. Save.
4. Reopen public/admin page to verify persistence.</t>
        </is>
      </c>
      <c r="J89" t="inlineStr" s="4">
        <is>
          <t>Part Of Logo is saved, visible where active, and sorted/scoped according to configuration.</t>
        </is>
      </c>
      <c r="K89" s="4"/>
      <c r="L89" t="inlineStr" s="4">
        <is>
          <t>Not Run</t>
        </is>
      </c>
      <c r="M89" t="inlineStr" s="4">
        <is>
          <t>P1</t>
        </is>
      </c>
      <c r="N89" t="inlineStr" s="4">
        <is>
          <t>High</t>
        </is>
      </c>
      <c r="O89" t="inlineStr" s="4">
        <is>
          <t>Functional</t>
        </is>
      </c>
      <c r="P89" t="inlineStr" s="4">
        <is>
          <t>Staging / QA</t>
        </is>
      </c>
      <c r="Q89" t="inlineStr" s="4">
        <is>
          <t>Chrome desktop + Android Chrome unless specified</t>
        </is>
      </c>
      <c r="R89" t="inlineStr" s="4">
        <is>
          <t>/admin/public/home</t>
        </is>
      </c>
      <c r="S89" t="inlineStr" s="4">
        <is>
          <t>Maybe</t>
        </is>
      </c>
      <c r="T89" t="inlineStr" s="4">
        <is>
          <t>Yes</t>
        </is>
      </c>
      <c r="U89" t="inlineStr" s="4">
        <is>
          <t>Codex QA Generator</t>
        </is>
      </c>
      <c r="V89" s="4"/>
      <c r="W89" s="4"/>
      <c r="X89" s="4"/>
      <c r="Y89" s="4"/>
    </row>
    <row r="90" ht="54" customHeight="1">
      <c r="A90" t="inlineStr" s="4">
        <is>
          <t>TC-ADMIN-CONTENT-103</t>
        </is>
      </c>
      <c r="B90" t="inlineStr" s="4">
        <is>
          <t>TS-ADMIN-CONTENT-001</t>
        </is>
      </c>
      <c r="C90" t="inlineStr" s="4">
        <is>
          <t>Admin Public Content</t>
        </is>
      </c>
      <c r="D90" t="inlineStr" s="4">
        <is>
          <t>Part Of Logo</t>
        </is>
      </c>
      <c r="E90" t="inlineStr" s="4">
        <is>
          <t>Part Of Logo rejects invalid or oversized input</t>
        </is>
      </c>
      <c r="F90" t="inlineStr" s="4">
        <is>
          <t>Admin</t>
        </is>
      </c>
      <c r="G90" t="inlineStr" s="4">
        <is>
          <t>Admin is authenticated and has public content permission.</t>
        </is>
      </c>
      <c r="H90" t="inlineStr" s="4">
        <is>
          <t>Invalid file type, missing required title/name, or text beyond configured max.</t>
        </is>
      </c>
      <c r="I90" t="inlineStr" s="4">
        <is>
          <t>1. Open /admin/public/home.
2. Submit invalid Part Of Logo data.
3. Observe validation and existing data.</t>
        </is>
      </c>
      <c r="J90" t="inlineStr" s="4">
        <is>
          <t>Validation error appears and previous valid data/file remains unchanged.</t>
        </is>
      </c>
      <c r="K90" s="4"/>
      <c r="L90" t="inlineStr" s="4">
        <is>
          <t>Not Run</t>
        </is>
      </c>
      <c r="M90" t="inlineStr" s="4">
        <is>
          <t>P1</t>
        </is>
      </c>
      <c r="N90" t="inlineStr" s="4">
        <is>
          <t>Medium</t>
        </is>
      </c>
      <c r="O90" t="inlineStr" s="4">
        <is>
          <t>Validation</t>
        </is>
      </c>
      <c r="P90" t="inlineStr" s="4">
        <is>
          <t>Staging / QA</t>
        </is>
      </c>
      <c r="Q90" t="inlineStr" s="4">
        <is>
          <t>Chrome desktop + Android Chrome unless specified</t>
        </is>
      </c>
      <c r="R90" t="inlineStr" s="4">
        <is>
          <t>/admin/public/home</t>
        </is>
      </c>
      <c r="S90" t="inlineStr" s="4">
        <is>
          <t>Maybe</t>
        </is>
      </c>
      <c r="T90" t="inlineStr" s="4">
        <is>
          <t>Yes</t>
        </is>
      </c>
      <c r="U90" t="inlineStr" s="4">
        <is>
          <t>Codex QA Generator</t>
        </is>
      </c>
      <c r="V90" s="4"/>
      <c r="W90" s="4"/>
      <c r="X90" s="4"/>
      <c r="Y90" s="4"/>
    </row>
    <row r="91" ht="54" customHeight="1">
      <c r="A91" t="inlineStr" s="4">
        <is>
          <t>TC-ADMIN-CONTENT-004</t>
        </is>
      </c>
      <c r="B91" t="inlineStr" s="4">
        <is>
          <t>TS-ADMIN-CONTENT-001</t>
        </is>
      </c>
      <c r="C91" t="inlineStr" s="4">
        <is>
          <t>Admin Public Content</t>
        </is>
      </c>
      <c r="D91" t="inlineStr" s="4">
        <is>
          <t>Promo Item</t>
        </is>
      </c>
      <c r="E91" t="inlineStr" s="4">
        <is>
          <t>Admin can manage Promo Item</t>
        </is>
      </c>
      <c r="F91" t="inlineStr" s="4">
        <is>
          <t>Admin</t>
        </is>
      </c>
      <c r="G91" t="inlineStr" s="4">
        <is>
          <t>Admin is authenticated and has public content permission.</t>
        </is>
      </c>
      <c r="H91" t="inlineStr" s="4">
        <is>
          <t>image, title, slug, voucher link, active state</t>
        </is>
      </c>
      <c r="I91" t="inlineStr" s="4">
        <is>
          <t>1. Open /admin/public/promo-items.
2. Create or edit Promo Item using valid data.
3. Save.
4. Reopen public/admin page to verify persistence.</t>
        </is>
      </c>
      <c r="J91" t="inlineStr" s="4">
        <is>
          <t>Promo Item is saved, visible where active, and sorted/scoped according to configuration.</t>
        </is>
      </c>
      <c r="K91" s="4"/>
      <c r="L91" t="inlineStr" s="4">
        <is>
          <t>Not Run</t>
        </is>
      </c>
      <c r="M91" t="inlineStr" s="4">
        <is>
          <t>P1</t>
        </is>
      </c>
      <c r="N91" t="inlineStr" s="4">
        <is>
          <t>High</t>
        </is>
      </c>
      <c r="O91" t="inlineStr" s="4">
        <is>
          <t>Functional</t>
        </is>
      </c>
      <c r="P91" t="inlineStr" s="4">
        <is>
          <t>Staging / QA</t>
        </is>
      </c>
      <c r="Q91" t="inlineStr" s="4">
        <is>
          <t>Chrome desktop + Android Chrome unless specified</t>
        </is>
      </c>
      <c r="R91" t="inlineStr" s="4">
        <is>
          <t>/admin/public/promo-items</t>
        </is>
      </c>
      <c r="S91" t="inlineStr" s="4">
        <is>
          <t>Maybe</t>
        </is>
      </c>
      <c r="T91" t="inlineStr" s="4">
        <is>
          <t>Yes</t>
        </is>
      </c>
      <c r="U91" t="inlineStr" s="4">
        <is>
          <t>Codex QA Generator</t>
        </is>
      </c>
      <c r="V91" s="4"/>
      <c r="W91" s="4"/>
      <c r="X91" s="4"/>
      <c r="Y91" s="4"/>
    </row>
    <row r="92" ht="54" customHeight="1">
      <c r="A92" t="inlineStr" s="4">
        <is>
          <t>TC-ADMIN-CONTENT-104</t>
        </is>
      </c>
      <c r="B92" t="inlineStr" s="4">
        <is>
          <t>TS-ADMIN-CONTENT-001</t>
        </is>
      </c>
      <c r="C92" t="inlineStr" s="4">
        <is>
          <t>Admin Public Content</t>
        </is>
      </c>
      <c r="D92" t="inlineStr" s="4">
        <is>
          <t>Promo Item</t>
        </is>
      </c>
      <c r="E92" t="inlineStr" s="4">
        <is>
          <t>Promo Item rejects invalid or oversized input</t>
        </is>
      </c>
      <c r="F92" t="inlineStr" s="4">
        <is>
          <t>Admin</t>
        </is>
      </c>
      <c r="G92" t="inlineStr" s="4">
        <is>
          <t>Admin is authenticated and has public content permission.</t>
        </is>
      </c>
      <c r="H92" t="inlineStr" s="4">
        <is>
          <t>Invalid file type, missing required title/name, or text beyond configured max.</t>
        </is>
      </c>
      <c r="I92" t="inlineStr" s="4">
        <is>
          <t>1. Open /admin/public/promo-items.
2. Submit invalid Promo Item data.
3. Observe validation and existing data.</t>
        </is>
      </c>
      <c r="J92" t="inlineStr" s="4">
        <is>
          <t>Validation error appears and previous valid data/file remains unchanged.</t>
        </is>
      </c>
      <c r="K92" s="4"/>
      <c r="L92" t="inlineStr" s="4">
        <is>
          <t>Not Run</t>
        </is>
      </c>
      <c r="M92" t="inlineStr" s="4">
        <is>
          <t>P1</t>
        </is>
      </c>
      <c r="N92" t="inlineStr" s="4">
        <is>
          <t>Medium</t>
        </is>
      </c>
      <c r="O92" t="inlineStr" s="4">
        <is>
          <t>Validation</t>
        </is>
      </c>
      <c r="P92" t="inlineStr" s="4">
        <is>
          <t>Staging / QA</t>
        </is>
      </c>
      <c r="Q92" t="inlineStr" s="4">
        <is>
          <t>Chrome desktop + Android Chrome unless specified</t>
        </is>
      </c>
      <c r="R92" t="inlineStr" s="4">
        <is>
          <t>/admin/public/promo-items</t>
        </is>
      </c>
      <c r="S92" t="inlineStr" s="4">
        <is>
          <t>Maybe</t>
        </is>
      </c>
      <c r="T92" t="inlineStr" s="4">
        <is>
          <t>Yes</t>
        </is>
      </c>
      <c r="U92" t="inlineStr" s="4">
        <is>
          <t>Codex QA Generator</t>
        </is>
      </c>
      <c r="V92" s="4"/>
      <c r="W92" s="4"/>
      <c r="X92" s="4"/>
      <c r="Y92" s="4"/>
    </row>
    <row r="93" ht="54" customHeight="1">
      <c r="A93" t="inlineStr" s="4">
        <is>
          <t>TC-ADMIN-CONTENT-005</t>
        </is>
      </c>
      <c r="B93" t="inlineStr" s="4">
        <is>
          <t>TS-ADMIN-CONTENT-001</t>
        </is>
      </c>
      <c r="C93" t="inlineStr" s="4">
        <is>
          <t>Admin Public Content</t>
        </is>
      </c>
      <c r="D93" t="inlineStr" s="4">
        <is>
          <t>Promo Video</t>
        </is>
      </c>
      <c r="E93" t="inlineStr" s="4">
        <is>
          <t>Admin can manage Promo Video</t>
        </is>
      </c>
      <c r="F93" t="inlineStr" s="4">
        <is>
          <t>Admin</t>
        </is>
      </c>
      <c r="G93" t="inlineStr" s="4">
        <is>
          <t>Admin is authenticated and has public content permission.</t>
        </is>
      </c>
      <c r="H93" t="inlineStr" s="4">
        <is>
          <t>video upload/poster, sort order, active state</t>
        </is>
      </c>
      <c r="I93" t="inlineStr" s="4">
        <is>
          <t>1. Open /admin/public/promo-videos.
2. Create or edit Promo Video using valid data.
3. Save.
4. Reopen public/admin page to verify persistence.</t>
        </is>
      </c>
      <c r="J93" t="inlineStr" s="4">
        <is>
          <t>Promo Video is saved, visible where active, and sorted/scoped according to configuration.</t>
        </is>
      </c>
      <c r="K93" s="4"/>
      <c r="L93" t="inlineStr" s="4">
        <is>
          <t>Not Run</t>
        </is>
      </c>
      <c r="M93" t="inlineStr" s="4">
        <is>
          <t>P1</t>
        </is>
      </c>
      <c r="N93" t="inlineStr" s="4">
        <is>
          <t>High</t>
        </is>
      </c>
      <c r="O93" t="inlineStr" s="4">
        <is>
          <t>Functional</t>
        </is>
      </c>
      <c r="P93" t="inlineStr" s="4">
        <is>
          <t>Staging / QA</t>
        </is>
      </c>
      <c r="Q93" t="inlineStr" s="4">
        <is>
          <t>Chrome desktop + Android Chrome unless specified</t>
        </is>
      </c>
      <c r="R93" t="inlineStr" s="4">
        <is>
          <t>/admin/public/promo-videos</t>
        </is>
      </c>
      <c r="S93" t="inlineStr" s="4">
        <is>
          <t>Maybe</t>
        </is>
      </c>
      <c r="T93" t="inlineStr" s="4">
        <is>
          <t>Yes</t>
        </is>
      </c>
      <c r="U93" t="inlineStr" s="4">
        <is>
          <t>Codex QA Generator</t>
        </is>
      </c>
      <c r="V93" s="4"/>
      <c r="W93" s="4"/>
      <c r="X93" s="4"/>
      <c r="Y93" s="4"/>
    </row>
    <row r="94" ht="54" customHeight="1">
      <c r="A94" t="inlineStr" s="4">
        <is>
          <t>TC-ADMIN-CONTENT-105</t>
        </is>
      </c>
      <c r="B94" t="inlineStr" s="4">
        <is>
          <t>TS-ADMIN-CONTENT-001</t>
        </is>
      </c>
      <c r="C94" t="inlineStr" s="4">
        <is>
          <t>Admin Public Content</t>
        </is>
      </c>
      <c r="D94" t="inlineStr" s="4">
        <is>
          <t>Promo Video</t>
        </is>
      </c>
      <c r="E94" t="inlineStr" s="4">
        <is>
          <t>Promo Video rejects invalid or oversized input</t>
        </is>
      </c>
      <c r="F94" t="inlineStr" s="4">
        <is>
          <t>Admin</t>
        </is>
      </c>
      <c r="G94" t="inlineStr" s="4">
        <is>
          <t>Admin is authenticated and has public content permission.</t>
        </is>
      </c>
      <c r="H94" t="inlineStr" s="4">
        <is>
          <t>Invalid file type, missing required title/name, or text beyond configured max.</t>
        </is>
      </c>
      <c r="I94" t="inlineStr" s="4">
        <is>
          <t>1. Open /admin/public/promo-videos.
2. Submit invalid Promo Video data.
3. Observe validation and existing data.</t>
        </is>
      </c>
      <c r="J94" t="inlineStr" s="4">
        <is>
          <t>Validation error appears and previous valid data/file remains unchanged.</t>
        </is>
      </c>
      <c r="K94" s="4"/>
      <c r="L94" t="inlineStr" s="4">
        <is>
          <t>Not Run</t>
        </is>
      </c>
      <c r="M94" t="inlineStr" s="4">
        <is>
          <t>P1</t>
        </is>
      </c>
      <c r="N94" t="inlineStr" s="4">
        <is>
          <t>Medium</t>
        </is>
      </c>
      <c r="O94" t="inlineStr" s="4">
        <is>
          <t>Validation</t>
        </is>
      </c>
      <c r="P94" t="inlineStr" s="4">
        <is>
          <t>Staging / QA</t>
        </is>
      </c>
      <c r="Q94" t="inlineStr" s="4">
        <is>
          <t>Chrome desktop + Android Chrome unless specified</t>
        </is>
      </c>
      <c r="R94" t="inlineStr" s="4">
        <is>
          <t>/admin/public/promo-videos</t>
        </is>
      </c>
      <c r="S94" t="inlineStr" s="4">
        <is>
          <t>Maybe</t>
        </is>
      </c>
      <c r="T94" t="inlineStr" s="4">
        <is>
          <t>Yes</t>
        </is>
      </c>
      <c r="U94" t="inlineStr" s="4">
        <is>
          <t>Codex QA Generator</t>
        </is>
      </c>
      <c r="V94" s="4"/>
      <c r="W94" s="4"/>
      <c r="X94" s="4"/>
      <c r="Y94" s="4"/>
    </row>
    <row r="95" ht="54" customHeight="1">
      <c r="A95" t="inlineStr" s="4">
        <is>
          <t>TC-ADMIN-CONTENT-006</t>
        </is>
      </c>
      <c r="B95" t="inlineStr" s="4">
        <is>
          <t>TS-ADMIN-CONTENT-001</t>
        </is>
      </c>
      <c r="C95" t="inlineStr" s="4">
        <is>
          <t>Admin Public Content</t>
        </is>
      </c>
      <c r="D95" t="inlineStr" s="4">
        <is>
          <t>FAQ</t>
        </is>
      </c>
      <c r="E95" t="inlineStr" s="4">
        <is>
          <t>Admin can manage FAQ</t>
        </is>
      </c>
      <c r="F95" t="inlineStr" s="4">
        <is>
          <t>Admin</t>
        </is>
      </c>
      <c r="G95" t="inlineStr" s="4">
        <is>
          <t>Admin is authenticated and has public content permission.</t>
        </is>
      </c>
      <c r="H95" t="inlineStr" s="4">
        <is>
          <t>question, answer, sort order, active state</t>
        </is>
      </c>
      <c r="I95" t="inlineStr" s="4">
        <is>
          <t>1. Open /admin/public/faqs.
2. Create or edit FAQ using valid data.
3. Save.
4. Reopen public/admin page to verify persistence.</t>
        </is>
      </c>
      <c r="J95" t="inlineStr" s="4">
        <is>
          <t>FAQ is saved, visible where active, and sorted/scoped according to configuration.</t>
        </is>
      </c>
      <c r="K95" s="4"/>
      <c r="L95" t="inlineStr" s="4">
        <is>
          <t>Not Run</t>
        </is>
      </c>
      <c r="M95" t="inlineStr" s="4">
        <is>
          <t>P1</t>
        </is>
      </c>
      <c r="N95" t="inlineStr" s="4">
        <is>
          <t>High</t>
        </is>
      </c>
      <c r="O95" t="inlineStr" s="4">
        <is>
          <t>Functional</t>
        </is>
      </c>
      <c r="P95" t="inlineStr" s="4">
        <is>
          <t>Staging / QA</t>
        </is>
      </c>
      <c r="Q95" t="inlineStr" s="4">
        <is>
          <t>Chrome desktop + Android Chrome unless specified</t>
        </is>
      </c>
      <c r="R95" t="inlineStr" s="4">
        <is>
          <t>/admin/public/faqs</t>
        </is>
      </c>
      <c r="S95" t="inlineStr" s="4">
        <is>
          <t>Maybe</t>
        </is>
      </c>
      <c r="T95" t="inlineStr" s="4">
        <is>
          <t>Yes</t>
        </is>
      </c>
      <c r="U95" t="inlineStr" s="4">
        <is>
          <t>Codex QA Generator</t>
        </is>
      </c>
      <c r="V95" s="4"/>
      <c r="W95" s="4"/>
      <c r="X95" s="4"/>
      <c r="Y95" s="4"/>
    </row>
    <row r="96" ht="54" customHeight="1">
      <c r="A96" t="inlineStr" s="4">
        <is>
          <t>TC-ADMIN-CONTENT-106</t>
        </is>
      </c>
      <c r="B96" t="inlineStr" s="4">
        <is>
          <t>TS-ADMIN-CONTENT-001</t>
        </is>
      </c>
      <c r="C96" t="inlineStr" s="4">
        <is>
          <t>Admin Public Content</t>
        </is>
      </c>
      <c r="D96" t="inlineStr" s="4">
        <is>
          <t>FAQ</t>
        </is>
      </c>
      <c r="E96" t="inlineStr" s="4">
        <is>
          <t>FAQ rejects invalid or oversized input</t>
        </is>
      </c>
      <c r="F96" t="inlineStr" s="4">
        <is>
          <t>Admin</t>
        </is>
      </c>
      <c r="G96" t="inlineStr" s="4">
        <is>
          <t>Admin is authenticated and has public content permission.</t>
        </is>
      </c>
      <c r="H96" t="inlineStr" s="4">
        <is>
          <t>Invalid file type, missing required title/name, or text beyond configured max.</t>
        </is>
      </c>
      <c r="I96" t="inlineStr" s="4">
        <is>
          <t>1. Open /admin/public/faqs.
2. Submit invalid FAQ data.
3. Observe validation and existing data.</t>
        </is>
      </c>
      <c r="J96" t="inlineStr" s="4">
        <is>
          <t>Validation error appears and previous valid data/file remains unchanged.</t>
        </is>
      </c>
      <c r="K96" s="4"/>
      <c r="L96" t="inlineStr" s="4">
        <is>
          <t>Not Run</t>
        </is>
      </c>
      <c r="M96" t="inlineStr" s="4">
        <is>
          <t>P1</t>
        </is>
      </c>
      <c r="N96" t="inlineStr" s="4">
        <is>
          <t>Medium</t>
        </is>
      </c>
      <c r="O96" t="inlineStr" s="4">
        <is>
          <t>Validation</t>
        </is>
      </c>
      <c r="P96" t="inlineStr" s="4">
        <is>
          <t>Staging / QA</t>
        </is>
      </c>
      <c r="Q96" t="inlineStr" s="4">
        <is>
          <t>Chrome desktop + Android Chrome unless specified</t>
        </is>
      </c>
      <c r="R96" t="inlineStr" s="4">
        <is>
          <t>/admin/public/faqs</t>
        </is>
      </c>
      <c r="S96" t="inlineStr" s="4">
        <is>
          <t>Maybe</t>
        </is>
      </c>
      <c r="T96" t="inlineStr" s="4">
        <is>
          <t>Yes</t>
        </is>
      </c>
      <c r="U96" t="inlineStr" s="4">
        <is>
          <t>Codex QA Generator</t>
        </is>
      </c>
      <c r="V96" s="4"/>
      <c r="W96" s="4"/>
      <c r="X96" s="4"/>
      <c r="Y96" s="4"/>
    </row>
    <row r="97" ht="54" customHeight="1">
      <c r="A97" t="inlineStr" s="4">
        <is>
          <t>TC-ADMIN-CONTENT-007</t>
        </is>
      </c>
      <c r="B97" t="inlineStr" s="4">
        <is>
          <t>TS-ADMIN-CONTENT-001</t>
        </is>
      </c>
      <c r="C97" t="inlineStr" s="4">
        <is>
          <t>Admin Public Content</t>
        </is>
      </c>
      <c r="D97" t="inlineStr" s="4">
        <is>
          <t>Contact</t>
        </is>
      </c>
      <c r="E97" t="inlineStr" s="4">
        <is>
          <t>Admin can manage Contact</t>
        </is>
      </c>
      <c r="F97" t="inlineStr" s="4">
        <is>
          <t>Admin</t>
        </is>
      </c>
      <c r="G97" t="inlineStr" s="4">
        <is>
          <t>Admin is authenticated and has public content permission.</t>
        </is>
      </c>
      <c r="H97" t="inlineStr" s="4">
        <is>
          <t>address textarea, phone, email, socials</t>
        </is>
      </c>
      <c r="I97" t="inlineStr" s="4">
        <is>
          <t>1. Open /admin/public/contacts.
2. Create or edit Contact using valid data.
3. Save.
4. Reopen public/admin page to verify persistence.</t>
        </is>
      </c>
      <c r="J97" t="inlineStr" s="4">
        <is>
          <t>Contact is saved, visible where active, and sorted/scoped according to configuration.</t>
        </is>
      </c>
      <c r="K97" s="4"/>
      <c r="L97" t="inlineStr" s="4">
        <is>
          <t>Not Run</t>
        </is>
      </c>
      <c r="M97" t="inlineStr" s="4">
        <is>
          <t>P1</t>
        </is>
      </c>
      <c r="N97" t="inlineStr" s="4">
        <is>
          <t>High</t>
        </is>
      </c>
      <c r="O97" t="inlineStr" s="4">
        <is>
          <t>Functional</t>
        </is>
      </c>
      <c r="P97" t="inlineStr" s="4">
        <is>
          <t>Staging / QA</t>
        </is>
      </c>
      <c r="Q97" t="inlineStr" s="4">
        <is>
          <t>Chrome desktop + Android Chrome unless specified</t>
        </is>
      </c>
      <c r="R97" t="inlineStr" s="4">
        <is>
          <t>/admin/public/contacts</t>
        </is>
      </c>
      <c r="S97" t="inlineStr" s="4">
        <is>
          <t>Maybe</t>
        </is>
      </c>
      <c r="T97" t="inlineStr" s="4">
        <is>
          <t>Yes</t>
        </is>
      </c>
      <c r="U97" t="inlineStr" s="4">
        <is>
          <t>Codex QA Generator</t>
        </is>
      </c>
      <c r="V97" s="4"/>
      <c r="W97" s="4"/>
      <c r="X97" s="4"/>
      <c r="Y97" s="4"/>
    </row>
    <row r="98" ht="54" customHeight="1">
      <c r="A98" t="inlineStr" s="4">
        <is>
          <t>TC-ADMIN-CONTENT-107</t>
        </is>
      </c>
      <c r="B98" t="inlineStr" s="4">
        <is>
          <t>TS-ADMIN-CONTENT-001</t>
        </is>
      </c>
      <c r="C98" t="inlineStr" s="4">
        <is>
          <t>Admin Public Content</t>
        </is>
      </c>
      <c r="D98" t="inlineStr" s="4">
        <is>
          <t>Contact</t>
        </is>
      </c>
      <c r="E98" t="inlineStr" s="4">
        <is>
          <t>Contact rejects invalid or oversized input</t>
        </is>
      </c>
      <c r="F98" t="inlineStr" s="4">
        <is>
          <t>Admin</t>
        </is>
      </c>
      <c r="G98" t="inlineStr" s="4">
        <is>
          <t>Admin is authenticated and has public content permission.</t>
        </is>
      </c>
      <c r="H98" t="inlineStr" s="4">
        <is>
          <t>Invalid file type, missing required title/name, or text beyond configured max.</t>
        </is>
      </c>
      <c r="I98" t="inlineStr" s="4">
        <is>
          <t>1. Open /admin/public/contacts.
2. Submit invalid Contact data.
3. Observe validation and existing data.</t>
        </is>
      </c>
      <c r="J98" t="inlineStr" s="4">
        <is>
          <t>Validation error appears and previous valid data/file remains unchanged.</t>
        </is>
      </c>
      <c r="K98" s="4"/>
      <c r="L98" t="inlineStr" s="4">
        <is>
          <t>Not Run</t>
        </is>
      </c>
      <c r="M98" t="inlineStr" s="4">
        <is>
          <t>P1</t>
        </is>
      </c>
      <c r="N98" t="inlineStr" s="4">
        <is>
          <t>Medium</t>
        </is>
      </c>
      <c r="O98" t="inlineStr" s="4">
        <is>
          <t>Validation</t>
        </is>
      </c>
      <c r="P98" t="inlineStr" s="4">
        <is>
          <t>Staging / QA</t>
        </is>
      </c>
      <c r="Q98" t="inlineStr" s="4">
        <is>
          <t>Chrome desktop + Android Chrome unless specified</t>
        </is>
      </c>
      <c r="R98" t="inlineStr" s="4">
        <is>
          <t>/admin/public/contacts</t>
        </is>
      </c>
      <c r="S98" t="inlineStr" s="4">
        <is>
          <t>Maybe</t>
        </is>
      </c>
      <c r="T98" t="inlineStr" s="4">
        <is>
          <t>Yes</t>
        </is>
      </c>
      <c r="U98" t="inlineStr" s="4">
        <is>
          <t>Codex QA Generator</t>
        </is>
      </c>
      <c r="V98" s="4"/>
      <c r="W98" s="4"/>
      <c r="X98" s="4"/>
      <c r="Y98" s="4"/>
    </row>
    <row r="99" ht="54" customHeight="1">
      <c r="A99" t="inlineStr" s="4">
        <is>
          <t>TC-ADMIN-CONTENT-008</t>
        </is>
      </c>
      <c r="B99" t="inlineStr" s="4">
        <is>
          <t>TS-ADMIN-CONTENT-001</t>
        </is>
      </c>
      <c r="C99" t="inlineStr" s="4">
        <is>
          <t>Admin Public Content</t>
        </is>
      </c>
      <c r="D99" t="inlineStr" s="4">
        <is>
          <t>About</t>
        </is>
      </c>
      <c r="E99" t="inlineStr" s="4">
        <is>
          <t>Admin can manage About</t>
        </is>
      </c>
      <c r="F99" t="inlineStr" s="4">
        <is>
          <t>Admin</t>
        </is>
      </c>
      <c r="G99" t="inlineStr" s="4">
        <is>
          <t>Admin is authenticated and has public content permission.</t>
        </is>
      </c>
      <c r="H99" t="inlineStr" s="4">
        <is>
          <t>rich content and tourism-focused copy</t>
        </is>
      </c>
      <c r="I99" t="inlineStr" s="4">
        <is>
          <t>1. Open /admin/public/about.
2. Create or edit About using valid data.
3. Save.
4. Reopen public/admin page to verify persistence.</t>
        </is>
      </c>
      <c r="J99" t="inlineStr" s="4">
        <is>
          <t>About is saved, visible where active, and sorted/scoped according to configuration.</t>
        </is>
      </c>
      <c r="K99" s="4"/>
      <c r="L99" t="inlineStr" s="4">
        <is>
          <t>Not Run</t>
        </is>
      </c>
      <c r="M99" t="inlineStr" s="4">
        <is>
          <t>P1</t>
        </is>
      </c>
      <c r="N99" t="inlineStr" s="4">
        <is>
          <t>High</t>
        </is>
      </c>
      <c r="O99" t="inlineStr" s="4">
        <is>
          <t>Functional</t>
        </is>
      </c>
      <c r="P99" t="inlineStr" s="4">
        <is>
          <t>Staging / QA</t>
        </is>
      </c>
      <c r="Q99" t="inlineStr" s="4">
        <is>
          <t>Chrome desktop + Android Chrome unless specified</t>
        </is>
      </c>
      <c r="R99" t="inlineStr" s="4">
        <is>
          <t>/admin/public/about</t>
        </is>
      </c>
      <c r="S99" t="inlineStr" s="4">
        <is>
          <t>Maybe</t>
        </is>
      </c>
      <c r="T99" t="inlineStr" s="4">
        <is>
          <t>Yes</t>
        </is>
      </c>
      <c r="U99" t="inlineStr" s="4">
        <is>
          <t>Codex QA Generator</t>
        </is>
      </c>
      <c r="V99" s="4"/>
      <c r="W99" s="4"/>
      <c r="X99" s="4"/>
      <c r="Y99" s="4"/>
    </row>
    <row r="100" ht="54" customHeight="1">
      <c r="A100" t="inlineStr" s="4">
        <is>
          <t>TC-ADMIN-CONTENT-108</t>
        </is>
      </c>
      <c r="B100" t="inlineStr" s="4">
        <is>
          <t>TS-ADMIN-CONTENT-001</t>
        </is>
      </c>
      <c r="C100" t="inlineStr" s="4">
        <is>
          <t>Admin Public Content</t>
        </is>
      </c>
      <c r="D100" t="inlineStr" s="4">
        <is>
          <t>About</t>
        </is>
      </c>
      <c r="E100" t="inlineStr" s="4">
        <is>
          <t>About rejects invalid or oversized input</t>
        </is>
      </c>
      <c r="F100" t="inlineStr" s="4">
        <is>
          <t>Admin</t>
        </is>
      </c>
      <c r="G100" t="inlineStr" s="4">
        <is>
          <t>Admin is authenticated and has public content permission.</t>
        </is>
      </c>
      <c r="H100" t="inlineStr" s="4">
        <is>
          <t>Invalid file type, missing required title/name, or text beyond configured max.</t>
        </is>
      </c>
      <c r="I100" t="inlineStr" s="4">
        <is>
          <t>1. Open /admin/public/about.
2. Submit invalid About data.
3. Observe validation and existing data.</t>
        </is>
      </c>
      <c r="J100" t="inlineStr" s="4">
        <is>
          <t>Validation error appears and previous valid data/file remains unchanged.</t>
        </is>
      </c>
      <c r="K100" s="4"/>
      <c r="L100" t="inlineStr" s="4">
        <is>
          <t>Not Run</t>
        </is>
      </c>
      <c r="M100" t="inlineStr" s="4">
        <is>
          <t>P1</t>
        </is>
      </c>
      <c r="N100" t="inlineStr" s="4">
        <is>
          <t>Medium</t>
        </is>
      </c>
      <c r="O100" t="inlineStr" s="4">
        <is>
          <t>Validation</t>
        </is>
      </c>
      <c r="P100" t="inlineStr" s="4">
        <is>
          <t>Staging / QA</t>
        </is>
      </c>
      <c r="Q100" t="inlineStr" s="4">
        <is>
          <t>Chrome desktop + Android Chrome unless specified</t>
        </is>
      </c>
      <c r="R100" t="inlineStr" s="4">
        <is>
          <t>/admin/public/about</t>
        </is>
      </c>
      <c r="S100" t="inlineStr" s="4">
        <is>
          <t>Maybe</t>
        </is>
      </c>
      <c r="T100" t="inlineStr" s="4">
        <is>
          <t>Yes</t>
        </is>
      </c>
      <c r="U100" t="inlineStr" s="4">
        <is>
          <t>Codex QA Generator</t>
        </is>
      </c>
      <c r="V100" s="4"/>
      <c r="W100" s="4"/>
      <c r="X100" s="4"/>
      <c r="Y100" s="4"/>
    </row>
    <row r="101" ht="54" customHeight="1">
      <c r="A101" t="inlineStr" s="4">
        <is>
          <t>TC-ADMIN-CONTENT-009</t>
        </is>
      </c>
      <c r="B101" t="inlineStr" s="4">
        <is>
          <t>TS-ADMIN-CONTENT-001</t>
        </is>
      </c>
      <c r="C101" t="inlineStr" s="4">
        <is>
          <t>Admin Public Content</t>
        </is>
      </c>
      <c r="D101" t="inlineStr" s="4">
        <is>
          <t>Privacy Policy</t>
        </is>
      </c>
      <c r="E101" t="inlineStr" s="4">
        <is>
          <t>Admin can manage Privacy Policy</t>
        </is>
      </c>
      <c r="F101" t="inlineStr" s="4">
        <is>
          <t>Admin</t>
        </is>
      </c>
      <c r="G101" t="inlineStr" s="4">
        <is>
          <t>Admin is authenticated and has public content permission.</t>
        </is>
      </c>
      <c r="H101" t="inlineStr" s="4">
        <is>
          <t>legal content</t>
        </is>
      </c>
      <c r="I101" t="inlineStr" s="4">
        <is>
          <t>1. Open /admin/public/privacy-policy.
2. Create or edit Privacy Policy using valid data.
3. Save.
4. Reopen public/admin page to verify persistence.</t>
        </is>
      </c>
      <c r="J101" t="inlineStr" s="4">
        <is>
          <t>Privacy Policy is saved, visible where active, and sorted/scoped according to configuration.</t>
        </is>
      </c>
      <c r="K101" s="4"/>
      <c r="L101" t="inlineStr" s="4">
        <is>
          <t>Not Run</t>
        </is>
      </c>
      <c r="M101" t="inlineStr" s="4">
        <is>
          <t>P1</t>
        </is>
      </c>
      <c r="N101" t="inlineStr" s="4">
        <is>
          <t>High</t>
        </is>
      </c>
      <c r="O101" t="inlineStr" s="4">
        <is>
          <t>Functional</t>
        </is>
      </c>
      <c r="P101" t="inlineStr" s="4">
        <is>
          <t>Staging / QA</t>
        </is>
      </c>
      <c r="Q101" t="inlineStr" s="4">
        <is>
          <t>Chrome desktop + Android Chrome unless specified</t>
        </is>
      </c>
      <c r="R101" t="inlineStr" s="4">
        <is>
          <t>/admin/public/privacy-policy</t>
        </is>
      </c>
      <c r="S101" t="inlineStr" s="4">
        <is>
          <t>Maybe</t>
        </is>
      </c>
      <c r="T101" t="inlineStr" s="4">
        <is>
          <t>Yes</t>
        </is>
      </c>
      <c r="U101" t="inlineStr" s="4">
        <is>
          <t>Codex QA Generator</t>
        </is>
      </c>
      <c r="V101" s="4"/>
      <c r="W101" s="4"/>
      <c r="X101" s="4"/>
      <c r="Y101" s="4"/>
    </row>
    <row r="102" ht="54" customHeight="1">
      <c r="A102" t="inlineStr" s="4">
        <is>
          <t>TC-ADMIN-CONTENT-109</t>
        </is>
      </c>
      <c r="B102" t="inlineStr" s="4">
        <is>
          <t>TS-ADMIN-CONTENT-001</t>
        </is>
      </c>
      <c r="C102" t="inlineStr" s="4">
        <is>
          <t>Admin Public Content</t>
        </is>
      </c>
      <c r="D102" t="inlineStr" s="4">
        <is>
          <t>Privacy Policy</t>
        </is>
      </c>
      <c r="E102" t="inlineStr" s="4">
        <is>
          <t>Privacy Policy rejects invalid or oversized input</t>
        </is>
      </c>
      <c r="F102" t="inlineStr" s="4">
        <is>
          <t>Admin</t>
        </is>
      </c>
      <c r="G102" t="inlineStr" s="4">
        <is>
          <t>Admin is authenticated and has public content permission.</t>
        </is>
      </c>
      <c r="H102" t="inlineStr" s="4">
        <is>
          <t>Invalid file type, missing required title/name, or text beyond configured max.</t>
        </is>
      </c>
      <c r="I102" t="inlineStr" s="4">
        <is>
          <t>1. Open /admin/public/privacy-policy.
2. Submit invalid Privacy Policy data.
3. Observe validation and existing data.</t>
        </is>
      </c>
      <c r="J102" t="inlineStr" s="4">
        <is>
          <t>Validation error appears and previous valid data/file remains unchanged.</t>
        </is>
      </c>
      <c r="K102" s="4"/>
      <c r="L102" t="inlineStr" s="4">
        <is>
          <t>Not Run</t>
        </is>
      </c>
      <c r="M102" t="inlineStr" s="4">
        <is>
          <t>P1</t>
        </is>
      </c>
      <c r="N102" t="inlineStr" s="4">
        <is>
          <t>Medium</t>
        </is>
      </c>
      <c r="O102" t="inlineStr" s="4">
        <is>
          <t>Validation</t>
        </is>
      </c>
      <c r="P102" t="inlineStr" s="4">
        <is>
          <t>Staging / QA</t>
        </is>
      </c>
      <c r="Q102" t="inlineStr" s="4">
        <is>
          <t>Chrome desktop + Android Chrome unless specified</t>
        </is>
      </c>
      <c r="R102" t="inlineStr" s="4">
        <is>
          <t>/admin/public/privacy-policy</t>
        </is>
      </c>
      <c r="S102" t="inlineStr" s="4">
        <is>
          <t>Maybe</t>
        </is>
      </c>
      <c r="T102" t="inlineStr" s="4">
        <is>
          <t>Yes</t>
        </is>
      </c>
      <c r="U102" t="inlineStr" s="4">
        <is>
          <t>Codex QA Generator</t>
        </is>
      </c>
      <c r="V102" s="4"/>
      <c r="W102" s="4"/>
      <c r="X102" s="4"/>
      <c r="Y102" s="4"/>
    </row>
    <row r="103" ht="54" customHeight="1">
      <c r="A103" t="inlineStr" s="4">
        <is>
          <t>TC-ADMIN-CONTENT-010</t>
        </is>
      </c>
      <c r="B103" t="inlineStr" s="4">
        <is>
          <t>TS-ADMIN-CONTENT-001</t>
        </is>
      </c>
      <c r="C103" t="inlineStr" s="4">
        <is>
          <t>Admin Public Content</t>
        </is>
      </c>
      <c r="D103" t="inlineStr" s="4">
        <is>
          <t>Entry QR Template</t>
        </is>
      </c>
      <c r="E103" t="inlineStr" s="4">
        <is>
          <t>Admin can manage Entry QR Template</t>
        </is>
      </c>
      <c r="F103" t="inlineStr" s="4">
        <is>
          <t>Admin</t>
        </is>
      </c>
      <c r="G103" t="inlineStr" s="4">
        <is>
          <t>Admin is authenticated and has public content permission.</t>
        </is>
      </c>
      <c r="H103" t="inlineStr" s="4">
        <is>
          <t>logo, copy, QR poster content limits</t>
        </is>
      </c>
      <c r="I103" t="inlineStr" s="4">
        <is>
          <t>1. Open /admin/public/entry-qr.
2. Create or edit Entry QR Template using valid data.
3. Save.
4. Reopen public/admin page to verify persistence.</t>
        </is>
      </c>
      <c r="J103" t="inlineStr" s="4">
        <is>
          <t>Entry QR Template is saved, visible where active, and sorted/scoped according to configuration.</t>
        </is>
      </c>
      <c r="K103" s="4"/>
      <c r="L103" t="inlineStr" s="4">
        <is>
          <t>Not Run</t>
        </is>
      </c>
      <c r="M103" t="inlineStr" s="4">
        <is>
          <t>P1</t>
        </is>
      </c>
      <c r="N103" t="inlineStr" s="4">
        <is>
          <t>High</t>
        </is>
      </c>
      <c r="O103" t="inlineStr" s="4">
        <is>
          <t>Functional</t>
        </is>
      </c>
      <c r="P103" t="inlineStr" s="4">
        <is>
          <t>Staging / QA</t>
        </is>
      </c>
      <c r="Q103" t="inlineStr" s="4">
        <is>
          <t>Chrome desktop + Android Chrome unless specified</t>
        </is>
      </c>
      <c r="R103" t="inlineStr" s="4">
        <is>
          <t>/admin/public/entry-qr</t>
        </is>
      </c>
      <c r="S103" t="inlineStr" s="4">
        <is>
          <t>Maybe</t>
        </is>
      </c>
      <c r="T103" t="inlineStr" s="4">
        <is>
          <t>Yes</t>
        </is>
      </c>
      <c r="U103" t="inlineStr" s="4">
        <is>
          <t>Codex QA Generator</t>
        </is>
      </c>
      <c r="V103" s="4"/>
      <c r="W103" s="4"/>
      <c r="X103" s="4"/>
      <c r="Y103" s="4"/>
    </row>
    <row r="104" ht="54" customHeight="1">
      <c r="A104" t="inlineStr" s="4">
        <is>
          <t>TC-ADMIN-CONTENT-110</t>
        </is>
      </c>
      <c r="B104" t="inlineStr" s="4">
        <is>
          <t>TS-ADMIN-CONTENT-001</t>
        </is>
      </c>
      <c r="C104" t="inlineStr" s="4">
        <is>
          <t>Admin Public Content</t>
        </is>
      </c>
      <c r="D104" t="inlineStr" s="4">
        <is>
          <t>Entry QR Template</t>
        </is>
      </c>
      <c r="E104" t="inlineStr" s="4">
        <is>
          <t>Entry QR Template rejects invalid or oversized input</t>
        </is>
      </c>
      <c r="F104" t="inlineStr" s="4">
        <is>
          <t>Admin</t>
        </is>
      </c>
      <c r="G104" t="inlineStr" s="4">
        <is>
          <t>Admin is authenticated and has public content permission.</t>
        </is>
      </c>
      <c r="H104" t="inlineStr" s="4">
        <is>
          <t>Invalid file type, missing required title/name, or text beyond configured max.</t>
        </is>
      </c>
      <c r="I104" t="inlineStr" s="4">
        <is>
          <t>1. Open /admin/public/entry-qr.
2. Submit invalid Entry QR Template data.
3. Observe validation and existing data.</t>
        </is>
      </c>
      <c r="J104" t="inlineStr" s="4">
        <is>
          <t>Validation error appears and previous valid data/file remains unchanged.</t>
        </is>
      </c>
      <c r="K104" s="4"/>
      <c r="L104" t="inlineStr" s="4">
        <is>
          <t>Not Run</t>
        </is>
      </c>
      <c r="M104" t="inlineStr" s="4">
        <is>
          <t>P1</t>
        </is>
      </c>
      <c r="N104" t="inlineStr" s="4">
        <is>
          <t>Medium</t>
        </is>
      </c>
      <c r="O104" t="inlineStr" s="4">
        <is>
          <t>Validation</t>
        </is>
      </c>
      <c r="P104" t="inlineStr" s="4">
        <is>
          <t>Staging / QA</t>
        </is>
      </c>
      <c r="Q104" t="inlineStr" s="4">
        <is>
          <t>Chrome desktop + Android Chrome unless specified</t>
        </is>
      </c>
      <c r="R104" t="inlineStr" s="4">
        <is>
          <t>/admin/public/entry-qr</t>
        </is>
      </c>
      <c r="S104" t="inlineStr" s="4">
        <is>
          <t>Maybe</t>
        </is>
      </c>
      <c r="T104" t="inlineStr" s="4">
        <is>
          <t>Yes</t>
        </is>
      </c>
      <c r="U104" t="inlineStr" s="4">
        <is>
          <t>Codex QA Generator</t>
        </is>
      </c>
      <c r="V104" s="4"/>
      <c r="W104" s="4"/>
      <c r="X104" s="4"/>
      <c r="Y104" s="4"/>
    </row>
    <row r="105" ht="54" customHeight="1">
      <c r="A105" t="inlineStr" s="4">
        <is>
          <t>TC-ADMIN-WISATA-001</t>
        </is>
      </c>
      <c r="B105" t="inlineStr" s="4">
        <is>
          <t>TS-ADMIN-WISATA-001</t>
        </is>
      </c>
      <c r="C105" t="inlineStr" s="4">
        <is>
          <t>Admin Wisata</t>
        </is>
      </c>
      <c r="D105" t="inlineStr" s="4">
        <is>
          <t>Destinations / Tickets / Booking / Finance / Voucher</t>
        </is>
      </c>
      <c r="E105" t="inlineStr" s="4">
        <is>
          <t>Destination list shows mitra/destination status</t>
        </is>
      </c>
      <c r="F105" t="inlineStr" s="4">
        <is>
          <t>Admin</t>
        </is>
      </c>
      <c r="G105" t="inlineStr" s="4">
        <is>
          <t>Admin is authenticated, verified, and has relevant permission.</t>
        </is>
      </c>
      <c r="H105" t="inlineStr" s="4">
        <is>
          <t>/admin/wisata/destinations</t>
        </is>
      </c>
      <c r="I105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05" t="inlineStr" s="4">
        <is>
          <t>Admin sees destination, mitra, verification/live status, search/filter, and actions.</t>
        </is>
      </c>
      <c r="K105" s="4"/>
      <c r="L105" t="inlineStr" s="4">
        <is>
          <t>Not Run</t>
        </is>
      </c>
      <c r="M105" t="inlineStr" s="4">
        <is>
          <t>P1</t>
        </is>
      </c>
      <c r="N105" t="inlineStr" s="4">
        <is>
          <t>High</t>
        </is>
      </c>
      <c r="O105" t="inlineStr" s="4">
        <is>
          <t>Functional</t>
        </is>
      </c>
      <c r="P105" t="inlineStr" s="4">
        <is>
          <t>Staging / QA</t>
        </is>
      </c>
      <c r="Q105" t="inlineStr" s="4">
        <is>
          <t>Chrome desktop + Android Chrome unless specified</t>
        </is>
      </c>
      <c r="R105" t="inlineStr" s="4">
        <is>
          <t>/admin/wisata/*</t>
        </is>
      </c>
      <c r="S105" t="inlineStr" s="4">
        <is>
          <t>Maybe</t>
        </is>
      </c>
      <c r="T105" t="inlineStr" s="4">
        <is>
          <t>Yes</t>
        </is>
      </c>
      <c r="U105" t="inlineStr" s="4">
        <is>
          <t>Codex QA Generator</t>
        </is>
      </c>
      <c r="V105" s="4"/>
      <c r="W105" s="4"/>
      <c r="X105" s="4"/>
      <c r="Y105" s="4"/>
    </row>
    <row r="106" ht="54" customHeight="1">
      <c r="A106" t="inlineStr" s="4">
        <is>
          <t>TC-ADMIN-WISATA-002</t>
        </is>
      </c>
      <c r="B106" t="inlineStr" s="4">
        <is>
          <t>TS-ADMIN-WISATA-001</t>
        </is>
      </c>
      <c r="C106" t="inlineStr" s="4">
        <is>
          <t>Admin Wisata</t>
        </is>
      </c>
      <c r="D106" t="inlineStr" s="4">
        <is>
          <t>Destinations / Tickets / Booking / Finance / Voucher</t>
        </is>
      </c>
      <c r="E106" t="inlineStr" s="4">
        <is>
          <t>Create wisata destination with required data</t>
        </is>
      </c>
      <c r="F106" t="inlineStr" s="4">
        <is>
          <t>Admin</t>
        </is>
      </c>
      <c r="G106" t="inlineStr" s="4">
        <is>
          <t>Admin is authenticated, verified, and has relevant permission.</t>
        </is>
      </c>
      <c r="H106" t="inlineStr" s="4">
        <is>
          <t>Valid destination and mitra data</t>
        </is>
      </c>
      <c r="I106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06" t="inlineStr" s="4">
        <is>
          <t>Destination is created without allowing unsafe owner manipulation.</t>
        </is>
      </c>
      <c r="K106" s="4"/>
      <c r="L106" t="inlineStr" s="4">
        <is>
          <t>Not Run</t>
        </is>
      </c>
      <c r="M106" t="inlineStr" s="4">
        <is>
          <t>P1</t>
        </is>
      </c>
      <c r="N106" t="inlineStr" s="4">
        <is>
          <t>High</t>
        </is>
      </c>
      <c r="O106" t="inlineStr" s="4">
        <is>
          <t>Functional</t>
        </is>
      </c>
      <c r="P106" t="inlineStr" s="4">
        <is>
          <t>Staging / QA</t>
        </is>
      </c>
      <c r="Q106" t="inlineStr" s="4">
        <is>
          <t>Chrome desktop + Android Chrome unless specified</t>
        </is>
      </c>
      <c r="R106" t="inlineStr" s="4">
        <is>
          <t>/admin/wisata/*</t>
        </is>
      </c>
      <c r="S106" t="inlineStr" s="4">
        <is>
          <t>Maybe</t>
        </is>
      </c>
      <c r="T106" t="inlineStr" s="4">
        <is>
          <t>Yes</t>
        </is>
      </c>
      <c r="U106" t="inlineStr" s="4">
        <is>
          <t>Codex QA Generator</t>
        </is>
      </c>
      <c r="V106" s="4"/>
      <c r="W106" s="4"/>
      <c r="X106" s="4"/>
      <c r="Y106" s="4"/>
    </row>
    <row r="107" ht="54" customHeight="1">
      <c r="A107" t="inlineStr" s="4">
        <is>
          <t>TC-ADMIN-WISATA-003</t>
        </is>
      </c>
      <c r="B107" t="inlineStr" s="4">
        <is>
          <t>TS-ADMIN-WISATA-001</t>
        </is>
      </c>
      <c r="C107" t="inlineStr" s="4">
        <is>
          <t>Admin Wisata</t>
        </is>
      </c>
      <c r="D107" t="inlineStr" s="4">
        <is>
          <t>Destinations / Tickets / Booking / Finance / Voucher</t>
        </is>
      </c>
      <c r="E107" t="inlineStr" s="4">
        <is>
          <t>Update wisata destination status/live/suspend</t>
        </is>
      </c>
      <c r="F107" t="inlineStr" s="4">
        <is>
          <t>Admin</t>
        </is>
      </c>
      <c r="G107" t="inlineStr" s="4">
        <is>
          <t>Admin is authenticated, verified, and has relevant permission.</t>
        </is>
      </c>
      <c r="H107" t="inlineStr" s="4">
        <is>
          <t>Existing destination</t>
        </is>
      </c>
      <c r="I107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07" t="inlineStr" s="4">
        <is>
          <t>Status changes persist and public visibility follows live/suspended rules.</t>
        </is>
      </c>
      <c r="K107" s="4"/>
      <c r="L107" t="inlineStr" s="4">
        <is>
          <t>Not Run</t>
        </is>
      </c>
      <c r="M107" t="inlineStr" s="4">
        <is>
          <t>P1</t>
        </is>
      </c>
      <c r="N107" t="inlineStr" s="4">
        <is>
          <t>High</t>
        </is>
      </c>
      <c r="O107" t="inlineStr" s="4">
        <is>
          <t>Functional</t>
        </is>
      </c>
      <c r="P107" t="inlineStr" s="4">
        <is>
          <t>Staging / QA</t>
        </is>
      </c>
      <c r="Q107" t="inlineStr" s="4">
        <is>
          <t>Chrome desktop + Android Chrome unless specified</t>
        </is>
      </c>
      <c r="R107" t="inlineStr" s="4">
        <is>
          <t>/admin/wisata/*</t>
        </is>
      </c>
      <c r="S107" t="inlineStr" s="4">
        <is>
          <t>Maybe</t>
        </is>
      </c>
      <c r="T107" t="inlineStr" s="4">
        <is>
          <t>Yes</t>
        </is>
      </c>
      <c r="U107" t="inlineStr" s="4">
        <is>
          <t>Codex QA Generator</t>
        </is>
      </c>
      <c r="V107" s="4"/>
      <c r="W107" s="4"/>
      <c r="X107" s="4"/>
      <c r="Y107" s="4"/>
    </row>
    <row r="108" ht="54" customHeight="1">
      <c r="A108" t="inlineStr" s="4">
        <is>
          <t>TC-ADMIN-WISATA-004</t>
        </is>
      </c>
      <c r="B108" t="inlineStr" s="4">
        <is>
          <t>TS-ADMIN-WISATA-001</t>
        </is>
      </c>
      <c r="C108" t="inlineStr" s="4">
        <is>
          <t>Admin Wisata</t>
        </is>
      </c>
      <c r="D108" t="inlineStr" s="4">
        <is>
          <t>Destinations / Tickets / Booking / Finance / Voucher</t>
        </is>
      </c>
      <c r="E108" t="inlineStr" s="4">
        <is>
          <t>Delete unused destination safely</t>
        </is>
      </c>
      <c r="F108" t="inlineStr" s="4">
        <is>
          <t>Admin</t>
        </is>
      </c>
      <c r="G108" t="inlineStr" s="4">
        <is>
          <t>Admin is authenticated, verified, and has relevant permission.</t>
        </is>
      </c>
      <c r="H108" t="inlineStr" s="4">
        <is>
          <t>Destination without dependent bookings</t>
        </is>
      </c>
      <c r="I108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08" t="inlineStr" s="4">
        <is>
          <t>Destination is removed or soft-deleted according to app behavior.</t>
        </is>
      </c>
      <c r="K108" s="4"/>
      <c r="L108" t="inlineStr" s="4">
        <is>
          <t>Not Run</t>
        </is>
      </c>
      <c r="M108" t="inlineStr" s="4">
        <is>
          <t>P1</t>
        </is>
      </c>
      <c r="N108" t="inlineStr" s="4">
        <is>
          <t>High</t>
        </is>
      </c>
      <c r="O108" t="inlineStr" s="4">
        <is>
          <t>Functional</t>
        </is>
      </c>
      <c r="P108" t="inlineStr" s="4">
        <is>
          <t>Staging / QA</t>
        </is>
      </c>
      <c r="Q108" t="inlineStr" s="4">
        <is>
          <t>Chrome desktop + Android Chrome unless specified</t>
        </is>
      </c>
      <c r="R108" t="inlineStr" s="4">
        <is>
          <t>/admin/wisata/*</t>
        </is>
      </c>
      <c r="S108" t="inlineStr" s="4">
        <is>
          <t>Maybe</t>
        </is>
      </c>
      <c r="T108" t="inlineStr" s="4">
        <is>
          <t>Yes</t>
        </is>
      </c>
      <c r="U108" t="inlineStr" s="4">
        <is>
          <t>Codex QA Generator</t>
        </is>
      </c>
      <c r="V108" s="4"/>
      <c r="W108" s="4"/>
      <c r="X108" s="4"/>
      <c r="Y108" s="4"/>
    </row>
    <row r="109" ht="54" customHeight="1">
      <c r="A109" t="inlineStr" s="4">
        <is>
          <t>TC-ADMIN-WISATA-005</t>
        </is>
      </c>
      <c r="B109" t="inlineStr" s="4">
        <is>
          <t>TS-ADMIN-WISATA-001</t>
        </is>
      </c>
      <c r="C109" t="inlineStr" s="4">
        <is>
          <t>Admin Wisata</t>
        </is>
      </c>
      <c r="D109" t="inlineStr" s="4">
        <is>
          <t>Destinations / Tickets / Booking / Finance / Voucher</t>
        </is>
      </c>
      <c r="E109" t="inlineStr" s="4">
        <is>
          <t>Destination delete with dependent booking is protected</t>
        </is>
      </c>
      <c r="F109" t="inlineStr" s="4">
        <is>
          <t>Admin</t>
        </is>
      </c>
      <c r="G109" t="inlineStr" s="4">
        <is>
          <t>Admin is authenticated, verified, and has relevant permission.</t>
        </is>
      </c>
      <c r="H109" t="inlineStr" s="4">
        <is>
          <t>Destination with bookings</t>
        </is>
      </c>
      <c r="I109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09" t="inlineStr" s="4">
        <is>
          <t>System prevents unsafe deletion or preserves data integrity.</t>
        </is>
      </c>
      <c r="K109" s="4"/>
      <c r="L109" t="inlineStr" s="4">
        <is>
          <t>Not Run</t>
        </is>
      </c>
      <c r="M109" t="inlineStr" s="4">
        <is>
          <t>P1</t>
        </is>
      </c>
      <c r="N109" t="inlineStr" s="4">
        <is>
          <t>High</t>
        </is>
      </c>
      <c r="O109" t="inlineStr" s="4">
        <is>
          <t>Functional</t>
        </is>
      </c>
      <c r="P109" t="inlineStr" s="4">
        <is>
          <t>Staging / QA</t>
        </is>
      </c>
      <c r="Q109" t="inlineStr" s="4">
        <is>
          <t>Chrome desktop + Android Chrome unless specified</t>
        </is>
      </c>
      <c r="R109" t="inlineStr" s="4">
        <is>
          <t>/admin/wisata/*</t>
        </is>
      </c>
      <c r="S109" t="inlineStr" s="4">
        <is>
          <t>Maybe</t>
        </is>
      </c>
      <c r="T109" t="inlineStr" s="4">
        <is>
          <t>Yes</t>
        </is>
      </c>
      <c r="U109" t="inlineStr" s="4">
        <is>
          <t>Codex QA Generator</t>
        </is>
      </c>
      <c r="V109" s="4"/>
      <c r="W109" s="4"/>
      <c r="X109" s="4"/>
      <c r="Y109" s="4"/>
    </row>
    <row r="110" ht="54" customHeight="1">
      <c r="A110" t="inlineStr" s="4">
        <is>
          <t>TC-ADMIN-WISATA-006</t>
        </is>
      </c>
      <c r="B110" t="inlineStr" s="4">
        <is>
          <t>TS-ADMIN-WISATA-001</t>
        </is>
      </c>
      <c r="C110" t="inlineStr" s="4">
        <is>
          <t>Admin Wisata</t>
        </is>
      </c>
      <c r="D110" t="inlineStr" s="4">
        <is>
          <t>Destinations / Tickets / Booking / Finance / Voucher</t>
        </is>
      </c>
      <c r="E110" t="inlineStr" s="4">
        <is>
          <t>Ticket initial page groups by destination</t>
        </is>
      </c>
      <c r="F110" t="inlineStr" s="4">
        <is>
          <t>Admin</t>
        </is>
      </c>
      <c r="G110" t="inlineStr" s="4">
        <is>
          <t>Admin is authenticated, verified, and has relevant permission.</t>
        </is>
      </c>
      <c r="H110" t="inlineStr" s="4">
        <is>
          <t>/admin/wisata/tickets</t>
        </is>
      </c>
      <c r="I110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10" t="inlineStr" s="4">
        <is>
          <t>Admin sees destination/mitra rows before drilling into tickets.</t>
        </is>
      </c>
      <c r="K110" s="4"/>
      <c r="L110" t="inlineStr" s="4">
        <is>
          <t>Not Run</t>
        </is>
      </c>
      <c r="M110" t="inlineStr" s="4">
        <is>
          <t>P1</t>
        </is>
      </c>
      <c r="N110" t="inlineStr" s="4">
        <is>
          <t>High</t>
        </is>
      </c>
      <c r="O110" t="inlineStr" s="4">
        <is>
          <t>Functional</t>
        </is>
      </c>
      <c r="P110" t="inlineStr" s="4">
        <is>
          <t>Staging / QA</t>
        </is>
      </c>
      <c r="Q110" t="inlineStr" s="4">
        <is>
          <t>Chrome desktop + Android Chrome unless specified</t>
        </is>
      </c>
      <c r="R110" t="inlineStr" s="4">
        <is>
          <t>/admin/wisata/*</t>
        </is>
      </c>
      <c r="S110" t="inlineStr" s="4">
        <is>
          <t>Maybe</t>
        </is>
      </c>
      <c r="T110" t="inlineStr" s="4">
        <is>
          <t>Yes</t>
        </is>
      </c>
      <c r="U110" t="inlineStr" s="4">
        <is>
          <t>Codex QA Generator</t>
        </is>
      </c>
      <c r="V110" s="4"/>
      <c r="W110" s="4"/>
      <c r="X110" s="4"/>
      <c r="Y110" s="4"/>
    </row>
    <row r="111" ht="54" customHeight="1">
      <c r="A111" t="inlineStr" s="4">
        <is>
          <t>TC-ADMIN-WISATA-007</t>
        </is>
      </c>
      <c r="B111" t="inlineStr" s="4">
        <is>
          <t>TS-ADMIN-WISATA-001</t>
        </is>
      </c>
      <c r="C111" t="inlineStr" s="4">
        <is>
          <t>Admin Wisata</t>
        </is>
      </c>
      <c r="D111" t="inlineStr" s="4">
        <is>
          <t>Destinations / Tickets / Booking / Finance / Voucher</t>
        </is>
      </c>
      <c r="E111" t="inlineStr" s="4">
        <is>
          <t>Create single ticket with min/max order</t>
        </is>
      </c>
      <c r="F111" t="inlineStr" s="4">
        <is>
          <t>Admin</t>
        </is>
      </c>
      <c r="G111" t="inlineStr" s="4">
        <is>
          <t>Admin is authenticated, verified, and has relevant permission.</t>
        </is>
      </c>
      <c r="H111" t="inlineStr" s="4">
        <is>
          <t>Valid ticket data including order limits</t>
        </is>
      </c>
      <c r="I111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11" t="inlineStr" s="4">
        <is>
          <t>Ticket is saved and limits apply in checkout/API quote.</t>
        </is>
      </c>
      <c r="K111" s="4"/>
      <c r="L111" t="inlineStr" s="4">
        <is>
          <t>Not Run</t>
        </is>
      </c>
      <c r="M111" t="inlineStr" s="4">
        <is>
          <t>P0</t>
        </is>
      </c>
      <c r="N111" t="inlineStr" s="4">
        <is>
          <t>Critical</t>
        </is>
      </c>
      <c r="O111" t="inlineStr" s="4">
        <is>
          <t>Functional</t>
        </is>
      </c>
      <c r="P111" t="inlineStr" s="4">
        <is>
          <t>Staging / QA</t>
        </is>
      </c>
      <c r="Q111" t="inlineStr" s="4">
        <is>
          <t>Chrome desktop + Android Chrome unless specified</t>
        </is>
      </c>
      <c r="R111" t="inlineStr" s="4">
        <is>
          <t>/admin/wisata/*</t>
        </is>
      </c>
      <c r="S111" t="inlineStr" s="4">
        <is>
          <t>Maybe</t>
        </is>
      </c>
      <c r="T111" t="inlineStr" s="4">
        <is>
          <t>Yes</t>
        </is>
      </c>
      <c r="U111" t="inlineStr" s="4">
        <is>
          <t>Codex QA Generator</t>
        </is>
      </c>
      <c r="V111" s="4"/>
      <c r="W111" s="4"/>
      <c r="X111" s="4"/>
      <c r="Y111" s="4"/>
    </row>
    <row r="112" ht="54" customHeight="1">
      <c r="A112" t="inlineStr" s="4">
        <is>
          <t>TC-ADMIN-WISATA-008</t>
        </is>
      </c>
      <c r="B112" t="inlineStr" s="4">
        <is>
          <t>TS-ADMIN-WISATA-001</t>
        </is>
      </c>
      <c r="C112" t="inlineStr" s="4">
        <is>
          <t>Admin Wisata</t>
        </is>
      </c>
      <c r="D112" t="inlineStr" s="4">
        <is>
          <t>Destinations / Tickets / Booking / Finance / Voucher</t>
        </is>
      </c>
      <c r="E112" t="inlineStr" s="4">
        <is>
          <t>Create package ticket from tickets in same destination</t>
        </is>
      </c>
      <c r="F112" t="inlineStr" s="4">
        <is>
          <t>Admin</t>
        </is>
      </c>
      <c r="G112" t="inlineStr" s="4">
        <is>
          <t>Admin is authenticated, verified, and has relevant permission.</t>
        </is>
      </c>
      <c r="H112" t="inlineStr" s="4">
        <is>
          <t>Package items from same destination</t>
        </is>
      </c>
      <c r="I112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12" t="inlineStr" s="4">
        <is>
          <t>Package ticket is created with included items and no cross-destination contamination.</t>
        </is>
      </c>
      <c r="K112" s="4"/>
      <c r="L112" t="inlineStr" s="4">
        <is>
          <t>Not Run</t>
        </is>
      </c>
      <c r="M112" t="inlineStr" s="4">
        <is>
          <t>P0</t>
        </is>
      </c>
      <c r="N112" t="inlineStr" s="4">
        <is>
          <t>High</t>
        </is>
      </c>
      <c r="O112" t="inlineStr" s="4">
        <is>
          <t>Functional</t>
        </is>
      </c>
      <c r="P112" t="inlineStr" s="4">
        <is>
          <t>Staging / QA</t>
        </is>
      </c>
      <c r="Q112" t="inlineStr" s="4">
        <is>
          <t>Chrome desktop + Android Chrome unless specified</t>
        </is>
      </c>
      <c r="R112" t="inlineStr" s="4">
        <is>
          <t>/admin/wisata/*</t>
        </is>
      </c>
      <c r="S112" t="inlineStr" s="4">
        <is>
          <t>Maybe</t>
        </is>
      </c>
      <c r="T112" t="inlineStr" s="4">
        <is>
          <t>Yes</t>
        </is>
      </c>
      <c r="U112" t="inlineStr" s="4">
        <is>
          <t>Codex QA Generator</t>
        </is>
      </c>
      <c r="V112" s="4"/>
      <c r="W112" s="4"/>
      <c r="X112" s="4"/>
      <c r="Y112" s="4"/>
    </row>
    <row r="113" ht="54" customHeight="1">
      <c r="A113" t="inlineStr" s="4">
        <is>
          <t>TC-ADMIN-WISATA-009</t>
        </is>
      </c>
      <c r="B113" t="inlineStr" s="4">
        <is>
          <t>TS-ADMIN-WISATA-001</t>
        </is>
      </c>
      <c r="C113" t="inlineStr" s="4">
        <is>
          <t>Admin Wisata</t>
        </is>
      </c>
      <c r="D113" t="inlineStr" s="4">
        <is>
          <t>Destinations / Tickets / Booking / Finance / Voucher</t>
        </is>
      </c>
      <c r="E113" t="inlineStr" s="4">
        <is>
          <t>Reject package ticket containing another destination ticket</t>
        </is>
      </c>
      <c r="F113" t="inlineStr" s="4">
        <is>
          <t>Admin</t>
        </is>
      </c>
      <c r="G113" t="inlineStr" s="4">
        <is>
          <t>Admin is authenticated, verified, and has relevant permission.</t>
        </is>
      </c>
      <c r="H113" t="inlineStr" s="4">
        <is>
          <t>Mixed destination package items</t>
        </is>
      </c>
      <c r="I113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13" t="inlineStr" s="4">
        <is>
          <t>Validation rejects request.</t>
        </is>
      </c>
      <c r="K113" s="4"/>
      <c r="L113" t="inlineStr" s="4">
        <is>
          <t>Not Run</t>
        </is>
      </c>
      <c r="M113" t="inlineStr" s="4">
        <is>
          <t>P1</t>
        </is>
      </c>
      <c r="N113" t="inlineStr" s="4">
        <is>
          <t>High</t>
        </is>
      </c>
      <c r="O113" t="inlineStr" s="4">
        <is>
          <t>Functional</t>
        </is>
      </c>
      <c r="P113" t="inlineStr" s="4">
        <is>
          <t>Staging / QA</t>
        </is>
      </c>
      <c r="Q113" t="inlineStr" s="4">
        <is>
          <t>Chrome desktop + Android Chrome unless specified</t>
        </is>
      </c>
      <c r="R113" t="inlineStr" s="4">
        <is>
          <t>/admin/wisata/*</t>
        </is>
      </c>
      <c r="S113" t="inlineStr" s="4">
        <is>
          <t>Maybe</t>
        </is>
      </c>
      <c r="T113" t="inlineStr" s="4">
        <is>
          <t>Yes</t>
        </is>
      </c>
      <c r="U113" t="inlineStr" s="4">
        <is>
          <t>Codex QA Generator</t>
        </is>
      </c>
      <c r="V113" s="4"/>
      <c r="W113" s="4"/>
      <c r="X113" s="4"/>
      <c r="Y113" s="4"/>
    </row>
    <row r="114" ht="54" customHeight="1">
      <c r="A114" t="inlineStr" s="4">
        <is>
          <t>TC-ADMIN-WISATA-010</t>
        </is>
      </c>
      <c r="B114" t="inlineStr" s="4">
        <is>
          <t>TS-ADMIN-WISATA-001</t>
        </is>
      </c>
      <c r="C114" t="inlineStr" s="4">
        <is>
          <t>Admin Wisata</t>
        </is>
      </c>
      <c r="D114" t="inlineStr" s="4">
        <is>
          <t>Destinations / Tickets / Booking / Finance / Voucher</t>
        </is>
      </c>
      <c r="E114" t="inlineStr" s="4">
        <is>
          <t>Edit ticket price/quota/active state</t>
        </is>
      </c>
      <c r="F114" t="inlineStr" s="4">
        <is>
          <t>Admin</t>
        </is>
      </c>
      <c r="G114" t="inlineStr" s="4">
        <is>
          <t>Admin is authenticated, verified, and has relevant permission.</t>
        </is>
      </c>
      <c r="H114" t="inlineStr" s="4">
        <is>
          <t>Existing ticket</t>
        </is>
      </c>
      <c r="I114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14" t="inlineStr" s="4">
        <is>
          <t>Changes persist and public availability updates.</t>
        </is>
      </c>
      <c r="K114" s="4"/>
      <c r="L114" t="inlineStr" s="4">
        <is>
          <t>Not Run</t>
        </is>
      </c>
      <c r="M114" t="inlineStr" s="4">
        <is>
          <t>P1</t>
        </is>
      </c>
      <c r="N114" t="inlineStr" s="4">
        <is>
          <t>High</t>
        </is>
      </c>
      <c r="O114" t="inlineStr" s="4">
        <is>
          <t>Functional</t>
        </is>
      </c>
      <c r="P114" t="inlineStr" s="4">
        <is>
          <t>Staging / QA</t>
        </is>
      </c>
      <c r="Q114" t="inlineStr" s="4">
        <is>
          <t>Chrome desktop + Android Chrome unless specified</t>
        </is>
      </c>
      <c r="R114" t="inlineStr" s="4">
        <is>
          <t>/admin/wisata/*</t>
        </is>
      </c>
      <c r="S114" t="inlineStr" s="4">
        <is>
          <t>Maybe</t>
        </is>
      </c>
      <c r="T114" t="inlineStr" s="4">
        <is>
          <t>Yes</t>
        </is>
      </c>
      <c r="U114" t="inlineStr" s="4">
        <is>
          <t>Codex QA Generator</t>
        </is>
      </c>
      <c r="V114" s="4"/>
      <c r="W114" s="4"/>
      <c r="X114" s="4"/>
      <c r="Y114" s="4"/>
    </row>
    <row r="115" ht="54" customHeight="1">
      <c r="A115" t="inlineStr" s="4">
        <is>
          <t>TC-ADMIN-WISATA-011</t>
        </is>
      </c>
      <c r="B115" t="inlineStr" s="4">
        <is>
          <t>TS-ADMIN-WISATA-001</t>
        </is>
      </c>
      <c r="C115" t="inlineStr" s="4">
        <is>
          <t>Admin Wisata</t>
        </is>
      </c>
      <c r="D115" t="inlineStr" s="4">
        <is>
          <t>Destinations / Tickets / Booking / Finance / Voucher</t>
        </is>
      </c>
      <c r="E115" t="inlineStr" s="4">
        <is>
          <t>Delete unused ticket</t>
        </is>
      </c>
      <c r="F115" t="inlineStr" s="4">
        <is>
          <t>Admin</t>
        </is>
      </c>
      <c r="G115" t="inlineStr" s="4">
        <is>
          <t>Admin is authenticated, verified, and has relevant permission.</t>
        </is>
      </c>
      <c r="H115" t="inlineStr" s="4">
        <is>
          <t>Ticket with no bookings</t>
        </is>
      </c>
      <c r="I115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15" t="inlineStr" s="4">
        <is>
          <t>Ticket is deleted or deactivated according to rule.</t>
        </is>
      </c>
      <c r="K115" s="4"/>
      <c r="L115" t="inlineStr" s="4">
        <is>
          <t>Not Run</t>
        </is>
      </c>
      <c r="M115" t="inlineStr" s="4">
        <is>
          <t>P1</t>
        </is>
      </c>
      <c r="N115" t="inlineStr" s="4">
        <is>
          <t>High</t>
        </is>
      </c>
      <c r="O115" t="inlineStr" s="4">
        <is>
          <t>Functional</t>
        </is>
      </c>
      <c r="P115" t="inlineStr" s="4">
        <is>
          <t>Staging / QA</t>
        </is>
      </c>
      <c r="Q115" t="inlineStr" s="4">
        <is>
          <t>Chrome desktop + Android Chrome unless specified</t>
        </is>
      </c>
      <c r="R115" t="inlineStr" s="4">
        <is>
          <t>/admin/wisata/*</t>
        </is>
      </c>
      <c r="S115" t="inlineStr" s="4">
        <is>
          <t>Maybe</t>
        </is>
      </c>
      <c r="T115" t="inlineStr" s="4">
        <is>
          <t>Yes</t>
        </is>
      </c>
      <c r="U115" t="inlineStr" s="4">
        <is>
          <t>Codex QA Generator</t>
        </is>
      </c>
      <c r="V115" s="4"/>
      <c r="W115" s="4"/>
      <c r="X115" s="4"/>
      <c r="Y115" s="4"/>
    </row>
    <row r="116" ht="54" customHeight="1">
      <c r="A116" t="inlineStr" s="4">
        <is>
          <t>TC-ADMIN-WISATA-012</t>
        </is>
      </c>
      <c r="B116" t="inlineStr" s="4">
        <is>
          <t>TS-ADMIN-WISATA-001</t>
        </is>
      </c>
      <c r="C116" t="inlineStr" s="4">
        <is>
          <t>Admin Wisata</t>
        </is>
      </c>
      <c r="D116" t="inlineStr" s="4">
        <is>
          <t>Destinations / Tickets / Booking / Finance / Voucher</t>
        </is>
      </c>
      <c r="E116" t="inlineStr" s="4">
        <is>
          <t>Prevent delete ticket with booking usage</t>
        </is>
      </c>
      <c r="F116" t="inlineStr" s="4">
        <is>
          <t>Admin</t>
        </is>
      </c>
      <c r="G116" t="inlineStr" s="4">
        <is>
          <t>Admin is authenticated, verified, and has relevant permission.</t>
        </is>
      </c>
      <c r="H116" t="inlineStr" s="4">
        <is>
          <t>Ticket referenced by booking</t>
        </is>
      </c>
      <c r="I116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16" t="inlineStr" s="4">
        <is>
          <t>System blocks unsafe delete.</t>
        </is>
      </c>
      <c r="K116" s="4"/>
      <c r="L116" t="inlineStr" s="4">
        <is>
          <t>Not Run</t>
        </is>
      </c>
      <c r="M116" t="inlineStr" s="4">
        <is>
          <t>P1</t>
        </is>
      </c>
      <c r="N116" t="inlineStr" s="4">
        <is>
          <t>High</t>
        </is>
      </c>
      <c r="O116" t="inlineStr" s="4">
        <is>
          <t>Functional</t>
        </is>
      </c>
      <c r="P116" t="inlineStr" s="4">
        <is>
          <t>Staging / QA</t>
        </is>
      </c>
      <c r="Q116" t="inlineStr" s="4">
        <is>
          <t>Chrome desktop + Android Chrome unless specified</t>
        </is>
      </c>
      <c r="R116" t="inlineStr" s="4">
        <is>
          <t>/admin/wisata/*</t>
        </is>
      </c>
      <c r="S116" t="inlineStr" s="4">
        <is>
          <t>Maybe</t>
        </is>
      </c>
      <c r="T116" t="inlineStr" s="4">
        <is>
          <t>Yes</t>
        </is>
      </c>
      <c r="U116" t="inlineStr" s="4">
        <is>
          <t>Codex QA Generator</t>
        </is>
      </c>
      <c r="V116" s="4"/>
      <c r="W116" s="4"/>
      <c r="X116" s="4"/>
      <c r="Y116" s="4"/>
    </row>
    <row r="117" ht="54" customHeight="1">
      <c r="A117" t="inlineStr" s="4">
        <is>
          <t>TC-ADMIN-WISATA-013</t>
        </is>
      </c>
      <c r="B117" t="inlineStr" s="4">
        <is>
          <t>TS-ADMIN-WISATA-001</t>
        </is>
      </c>
      <c r="C117" t="inlineStr" s="4">
        <is>
          <t>Admin Wisata</t>
        </is>
      </c>
      <c r="D117" t="inlineStr" s="4">
        <is>
          <t>Destinations / Tickets / Booking / Finance / Voucher</t>
        </is>
      </c>
      <c r="E117" t="inlineStr" s="4">
        <is>
          <t>Booking list filters by status/date/search</t>
        </is>
      </c>
      <c r="F117" t="inlineStr" s="4">
        <is>
          <t>Admin</t>
        </is>
      </c>
      <c r="G117" t="inlineStr" s="4">
        <is>
          <t>Admin is authenticated, verified, and has relevant permission.</t>
        </is>
      </c>
      <c r="H117" t="inlineStr" s="4">
        <is>
          <t>/admin/wisata/bookings</t>
        </is>
      </c>
      <c r="I117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17" t="inlineStr" s="4">
        <is>
          <t>Filtered booking list matches criteria.</t>
        </is>
      </c>
      <c r="K117" s="4"/>
      <c r="L117" t="inlineStr" s="4">
        <is>
          <t>Not Run</t>
        </is>
      </c>
      <c r="M117" t="inlineStr" s="4">
        <is>
          <t>P1</t>
        </is>
      </c>
      <c r="N117" t="inlineStr" s="4">
        <is>
          <t>High</t>
        </is>
      </c>
      <c r="O117" t="inlineStr" s="4">
        <is>
          <t>Functional</t>
        </is>
      </c>
      <c r="P117" t="inlineStr" s="4">
        <is>
          <t>Staging / QA</t>
        </is>
      </c>
      <c r="Q117" t="inlineStr" s="4">
        <is>
          <t>Chrome desktop + Android Chrome unless specified</t>
        </is>
      </c>
      <c r="R117" t="inlineStr" s="4">
        <is>
          <t>/admin/wisata/*</t>
        </is>
      </c>
      <c r="S117" t="inlineStr" s="4">
        <is>
          <t>Maybe</t>
        </is>
      </c>
      <c r="T117" t="inlineStr" s="4">
        <is>
          <t>Yes</t>
        </is>
      </c>
      <c r="U117" t="inlineStr" s="4">
        <is>
          <t>Codex QA Generator</t>
        </is>
      </c>
      <c r="V117" s="4"/>
      <c r="W117" s="4"/>
      <c r="X117" s="4"/>
      <c r="Y117" s="4"/>
    </row>
    <row r="118" ht="54" customHeight="1">
      <c r="A118" t="inlineStr" s="4">
        <is>
          <t>TC-ADMIN-WISATA-014</t>
        </is>
      </c>
      <c r="B118" t="inlineStr" s="4">
        <is>
          <t>TS-ADMIN-WISATA-001</t>
        </is>
      </c>
      <c r="C118" t="inlineStr" s="4">
        <is>
          <t>Admin Wisata</t>
        </is>
      </c>
      <c r="D118" t="inlineStr" s="4">
        <is>
          <t>Destinations / Tickets / Booking / Finance / Voucher</t>
        </is>
      </c>
      <c r="E118" t="inlineStr" s="4">
        <is>
          <t>Booking detail shows items, payment, guest, destination</t>
        </is>
      </c>
      <c r="F118" t="inlineStr" s="4">
        <is>
          <t>Admin</t>
        </is>
      </c>
      <c r="G118" t="inlineStr" s="4">
        <is>
          <t>Admin is authenticated, verified, and has relevant permission.</t>
        </is>
      </c>
      <c r="H118" t="inlineStr" s="4">
        <is>
          <t>Existing booking</t>
        </is>
      </c>
      <c r="I118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18" t="inlineStr" s="4">
        <is>
          <t>Admin can inspect data without exposing unrelated records.</t>
        </is>
      </c>
      <c r="K118" s="4"/>
      <c r="L118" t="inlineStr" s="4">
        <is>
          <t>Not Run</t>
        </is>
      </c>
      <c r="M118" t="inlineStr" s="4">
        <is>
          <t>P0</t>
        </is>
      </c>
      <c r="N118" t="inlineStr" s="4">
        <is>
          <t>Critical</t>
        </is>
      </c>
      <c r="O118" t="inlineStr" s="4">
        <is>
          <t>Functional</t>
        </is>
      </c>
      <c r="P118" t="inlineStr" s="4">
        <is>
          <t>Staging / QA</t>
        </is>
      </c>
      <c r="Q118" t="inlineStr" s="4">
        <is>
          <t>Chrome desktop + Android Chrome unless specified</t>
        </is>
      </c>
      <c r="R118" t="inlineStr" s="4">
        <is>
          <t>/admin/wisata/*</t>
        </is>
      </c>
      <c r="S118" t="inlineStr" s="4">
        <is>
          <t>Maybe</t>
        </is>
      </c>
      <c r="T118" t="inlineStr" s="4">
        <is>
          <t>Yes</t>
        </is>
      </c>
      <c r="U118" t="inlineStr" s="4">
        <is>
          <t>Codex QA Generator</t>
        </is>
      </c>
      <c r="V118" s="4"/>
      <c r="W118" s="4"/>
      <c r="X118" s="4"/>
      <c r="Y118" s="4"/>
    </row>
    <row r="119" ht="54" customHeight="1">
      <c r="A119" t="inlineStr" s="4">
        <is>
          <t>TC-ADMIN-WISATA-015</t>
        </is>
      </c>
      <c r="B119" t="inlineStr" s="4">
        <is>
          <t>TS-ADMIN-WISATA-001</t>
        </is>
      </c>
      <c r="C119" t="inlineStr" s="4">
        <is>
          <t>Admin Wisata</t>
        </is>
      </c>
      <c r="D119" t="inlineStr" s="4">
        <is>
          <t>Destinations / Tickets / Booking / Finance / Voucher</t>
        </is>
      </c>
      <c r="E119" t="inlineStr" s="4">
        <is>
          <t>Admin cancels eligible booking</t>
        </is>
      </c>
      <c r="F119" t="inlineStr" s="4">
        <is>
          <t>Admin</t>
        </is>
      </c>
      <c r="G119" t="inlineStr" s="4">
        <is>
          <t>Admin is authenticated, verified, and has relevant permission.</t>
        </is>
      </c>
      <c r="H119" t="inlineStr" s="4">
        <is>
          <t>Eligible pending booking</t>
        </is>
      </c>
      <c r="I119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19" t="inlineStr" s="4">
        <is>
          <t>Booking status changes and audit/notification is recorded.</t>
        </is>
      </c>
      <c r="K119" s="4"/>
      <c r="L119" t="inlineStr" s="4">
        <is>
          <t>Not Run</t>
        </is>
      </c>
      <c r="M119" t="inlineStr" s="4">
        <is>
          <t>P1</t>
        </is>
      </c>
      <c r="N119" t="inlineStr" s="4">
        <is>
          <t>High</t>
        </is>
      </c>
      <c r="O119" t="inlineStr" s="4">
        <is>
          <t>Functional</t>
        </is>
      </c>
      <c r="P119" t="inlineStr" s="4">
        <is>
          <t>Staging / QA</t>
        </is>
      </c>
      <c r="Q119" t="inlineStr" s="4">
        <is>
          <t>Chrome desktop + Android Chrome unless specified</t>
        </is>
      </c>
      <c r="R119" t="inlineStr" s="4">
        <is>
          <t>/admin/wisata/*</t>
        </is>
      </c>
      <c r="S119" t="inlineStr" s="4">
        <is>
          <t>Maybe</t>
        </is>
      </c>
      <c r="T119" t="inlineStr" s="4">
        <is>
          <t>Yes</t>
        </is>
      </c>
      <c r="U119" t="inlineStr" s="4">
        <is>
          <t>Codex QA Generator</t>
        </is>
      </c>
      <c r="V119" s="4"/>
      <c r="W119" s="4"/>
      <c r="X119" s="4"/>
      <c r="Y119" s="4"/>
    </row>
    <row r="120" ht="54" customHeight="1">
      <c r="A120" t="inlineStr" s="4">
        <is>
          <t>TC-ADMIN-WISATA-016</t>
        </is>
      </c>
      <c r="B120" t="inlineStr" s="4">
        <is>
          <t>TS-ADMIN-WISATA-001</t>
        </is>
      </c>
      <c r="C120" t="inlineStr" s="4">
        <is>
          <t>Admin Wisata</t>
        </is>
      </c>
      <c r="D120" t="inlineStr" s="4">
        <is>
          <t>Destinations / Tickets / Booking / Finance / Voucher</t>
        </is>
      </c>
      <c r="E120" t="inlineStr" s="4">
        <is>
          <t>Admin refund flow validates required reason/amount</t>
        </is>
      </c>
      <c r="F120" t="inlineStr" s="4">
        <is>
          <t>Admin</t>
        </is>
      </c>
      <c r="G120" t="inlineStr" s="4">
        <is>
          <t>Admin is authenticated, verified, and has relevant permission.</t>
        </is>
      </c>
      <c r="H120" t="inlineStr" s="4">
        <is>
          <t>Invalid and valid refund payloads</t>
        </is>
      </c>
      <c r="I120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20" t="inlineStr" s="4">
        <is>
          <t>Invalid data rejected; valid refund updates status safely.</t>
        </is>
      </c>
      <c r="K120" s="4"/>
      <c r="L120" t="inlineStr" s="4">
        <is>
          <t>Not Run</t>
        </is>
      </c>
      <c r="M120" t="inlineStr" s="4">
        <is>
          <t>P1</t>
        </is>
      </c>
      <c r="N120" t="inlineStr" s="4">
        <is>
          <t>High</t>
        </is>
      </c>
      <c r="O120" t="inlineStr" s="4">
        <is>
          <t>Functional</t>
        </is>
      </c>
      <c r="P120" t="inlineStr" s="4">
        <is>
          <t>Staging / QA</t>
        </is>
      </c>
      <c r="Q120" t="inlineStr" s="4">
        <is>
          <t>Chrome desktop + Android Chrome unless specified</t>
        </is>
      </c>
      <c r="R120" t="inlineStr" s="4">
        <is>
          <t>/admin/wisata/*</t>
        </is>
      </c>
      <c r="S120" t="inlineStr" s="4">
        <is>
          <t>Maybe</t>
        </is>
      </c>
      <c r="T120" t="inlineStr" s="4">
        <is>
          <t>Yes</t>
        </is>
      </c>
      <c r="U120" t="inlineStr" s="4">
        <is>
          <t>Codex QA Generator</t>
        </is>
      </c>
      <c r="V120" s="4"/>
      <c r="W120" s="4"/>
      <c r="X120" s="4"/>
      <c r="Y120" s="4"/>
    </row>
    <row r="121" ht="54" customHeight="1">
      <c r="A121" t="inlineStr" s="4">
        <is>
          <t>TC-ADMIN-WISATA-017</t>
        </is>
      </c>
      <c r="B121" t="inlineStr" s="4">
        <is>
          <t>TS-ADMIN-WISATA-001</t>
        </is>
      </c>
      <c r="C121" t="inlineStr" s="4">
        <is>
          <t>Admin Wisata</t>
        </is>
      </c>
      <c r="D121" t="inlineStr" s="4">
        <is>
          <t>Destinations / Tickets / Booking / Finance / Voucher</t>
        </is>
      </c>
      <c r="E121" t="inlineStr" s="4">
        <is>
          <t>Finance commission rule can be updated</t>
        </is>
      </c>
      <c r="F121" t="inlineStr" s="4">
        <is>
          <t>Admin</t>
        </is>
      </c>
      <c r="G121" t="inlineStr" s="4">
        <is>
          <t>Admin is authenticated, verified, and has relevant permission.</t>
        </is>
      </c>
      <c r="H121" t="inlineStr" s="4">
        <is>
          <t>Valid commission rule</t>
        </is>
      </c>
      <c r="I121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21" t="inlineStr" s="4">
        <is>
          <t>Commission setting persists and affects future reports/payouts.</t>
        </is>
      </c>
      <c r="K121" s="4"/>
      <c r="L121" t="inlineStr" s="4">
        <is>
          <t>Not Run</t>
        </is>
      </c>
      <c r="M121" t="inlineStr" s="4">
        <is>
          <t>P1</t>
        </is>
      </c>
      <c r="N121" t="inlineStr" s="4">
        <is>
          <t>High</t>
        </is>
      </c>
      <c r="O121" t="inlineStr" s="4">
        <is>
          <t>Functional</t>
        </is>
      </c>
      <c r="P121" t="inlineStr" s="4">
        <is>
          <t>Staging / QA</t>
        </is>
      </c>
      <c r="Q121" t="inlineStr" s="4">
        <is>
          <t>Chrome desktop + Android Chrome unless specified</t>
        </is>
      </c>
      <c r="R121" t="inlineStr" s="4">
        <is>
          <t>/admin/wisata/*</t>
        </is>
      </c>
      <c r="S121" t="inlineStr" s="4">
        <is>
          <t>Maybe</t>
        </is>
      </c>
      <c r="T121" t="inlineStr" s="4">
        <is>
          <t>Yes</t>
        </is>
      </c>
      <c r="U121" t="inlineStr" s="4">
        <is>
          <t>Codex QA Generator</t>
        </is>
      </c>
      <c r="V121" s="4"/>
      <c r="W121" s="4"/>
      <c r="X121" s="4"/>
      <c r="Y121" s="4"/>
    </row>
    <row r="122" ht="54" customHeight="1">
      <c r="A122" t="inlineStr" s="4">
        <is>
          <t>TC-ADMIN-WISATA-018</t>
        </is>
      </c>
      <c r="B122" t="inlineStr" s="4">
        <is>
          <t>TS-ADMIN-WISATA-001</t>
        </is>
      </c>
      <c r="C122" t="inlineStr" s="4">
        <is>
          <t>Admin Wisata</t>
        </is>
      </c>
      <c r="D122" t="inlineStr" s="4">
        <is>
          <t>Destinations / Tickets / Booking / Finance / Voucher</t>
        </is>
      </c>
      <c r="E122" t="inlineStr" s="4">
        <is>
          <t>Generate wisata payout</t>
        </is>
      </c>
      <c r="F122" t="inlineStr" s="4">
        <is>
          <t>Admin</t>
        </is>
      </c>
      <c r="G122" t="inlineStr" s="4">
        <is>
          <t>Admin is authenticated, verified, and has relevant permission.</t>
        </is>
      </c>
      <c r="H122" t="inlineStr" s="4">
        <is>
          <t>Eligible paid partner balance</t>
        </is>
      </c>
      <c r="I122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22" t="inlineStr" s="4">
        <is>
          <t>Payout record is generated with correct partner scope.</t>
        </is>
      </c>
      <c r="K122" s="4"/>
      <c r="L122" t="inlineStr" s="4">
        <is>
          <t>Not Run</t>
        </is>
      </c>
      <c r="M122" t="inlineStr" s="4">
        <is>
          <t>P0</t>
        </is>
      </c>
      <c r="N122" t="inlineStr" s="4">
        <is>
          <t>Critical</t>
        </is>
      </c>
      <c r="O122" t="inlineStr" s="4">
        <is>
          <t>Functional</t>
        </is>
      </c>
      <c r="P122" t="inlineStr" s="4">
        <is>
          <t>Staging / QA</t>
        </is>
      </c>
      <c r="Q122" t="inlineStr" s="4">
        <is>
          <t>Chrome desktop + Android Chrome unless specified</t>
        </is>
      </c>
      <c r="R122" t="inlineStr" s="4">
        <is>
          <t>/admin/wisata/*</t>
        </is>
      </c>
      <c r="S122" t="inlineStr" s="4">
        <is>
          <t>Maybe</t>
        </is>
      </c>
      <c r="T122" t="inlineStr" s="4">
        <is>
          <t>Yes</t>
        </is>
      </c>
      <c r="U122" t="inlineStr" s="4">
        <is>
          <t>Codex QA Generator</t>
        </is>
      </c>
      <c r="V122" s="4"/>
      <c r="W122" s="4"/>
      <c r="X122" s="4"/>
      <c r="Y122" s="4"/>
    </row>
    <row r="123" ht="54" customHeight="1">
      <c r="A123" t="inlineStr" s="4">
        <is>
          <t>TC-ADMIN-WISATA-019</t>
        </is>
      </c>
      <c r="B123" t="inlineStr" s="4">
        <is>
          <t>TS-ADMIN-WISATA-001</t>
        </is>
      </c>
      <c r="C123" t="inlineStr" s="4">
        <is>
          <t>Admin Wisata</t>
        </is>
      </c>
      <c r="D123" t="inlineStr" s="4">
        <is>
          <t>Destinations / Tickets / Booking / Finance / Voucher</t>
        </is>
      </c>
      <c r="E123" t="inlineStr" s="4">
        <is>
          <t>Wisata finance report filters by date</t>
        </is>
      </c>
      <c r="F123" t="inlineStr" s="4">
        <is>
          <t>Admin</t>
        </is>
      </c>
      <c r="G123" t="inlineStr" s="4">
        <is>
          <t>Admin is authenticated, verified, and has relevant permission.</t>
        </is>
      </c>
      <c r="H123" t="inlineStr" s="4">
        <is>
          <t>Date range</t>
        </is>
      </c>
      <c r="I123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23" t="inlineStr" s="4">
        <is>
          <t>Report totals match bookings/payments in range.</t>
        </is>
      </c>
      <c r="K123" s="4"/>
      <c r="L123" t="inlineStr" s="4">
        <is>
          <t>Not Run</t>
        </is>
      </c>
      <c r="M123" t="inlineStr" s="4">
        <is>
          <t>P1</t>
        </is>
      </c>
      <c r="N123" t="inlineStr" s="4">
        <is>
          <t>High</t>
        </is>
      </c>
      <c r="O123" t="inlineStr" s="4">
        <is>
          <t>Functional</t>
        </is>
      </c>
      <c r="P123" t="inlineStr" s="4">
        <is>
          <t>Staging / QA</t>
        </is>
      </c>
      <c r="Q123" t="inlineStr" s="4">
        <is>
          <t>Chrome desktop + Android Chrome unless specified</t>
        </is>
      </c>
      <c r="R123" t="inlineStr" s="4">
        <is>
          <t>/admin/wisata/*</t>
        </is>
      </c>
      <c r="S123" t="inlineStr" s="4">
        <is>
          <t>Maybe</t>
        </is>
      </c>
      <c r="T123" t="inlineStr" s="4">
        <is>
          <t>Yes</t>
        </is>
      </c>
      <c r="U123" t="inlineStr" s="4">
        <is>
          <t>Codex QA Generator</t>
        </is>
      </c>
      <c r="V123" s="4"/>
      <c r="W123" s="4"/>
      <c r="X123" s="4"/>
      <c r="Y123" s="4"/>
    </row>
    <row r="124" ht="54" customHeight="1">
      <c r="A124" t="inlineStr" s="4">
        <is>
          <t>TC-ADMIN-WISATA-020</t>
        </is>
      </c>
      <c r="B124" t="inlineStr" s="4">
        <is>
          <t>TS-ADMIN-WISATA-001</t>
        </is>
      </c>
      <c r="C124" t="inlineStr" s="4">
        <is>
          <t>Admin Wisata</t>
        </is>
      </c>
      <c r="D124" t="inlineStr" s="4">
        <is>
          <t>Destinations / Tickets / Booking / Finance / Voucher</t>
        </is>
      </c>
      <c r="E124" t="inlineStr" s="4">
        <is>
          <t>Voucher modal can create voucher</t>
        </is>
      </c>
      <c r="F124" t="inlineStr" s="4">
        <is>
          <t>Admin</t>
        </is>
      </c>
      <c r="G124" t="inlineStr" s="4">
        <is>
          <t>Admin is authenticated, verified, and has relevant permission.</t>
        </is>
      </c>
      <c r="H124" t="inlineStr" s="4">
        <is>
          <t>Valid voucher fields</t>
        </is>
      </c>
      <c r="I124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24" t="inlineStr" s="4">
        <is>
          <t>Voucher is created from modal without clipping UI.</t>
        </is>
      </c>
      <c r="K124" s="4"/>
      <c r="L124" t="inlineStr" s="4">
        <is>
          <t>Not Run</t>
        </is>
      </c>
      <c r="M124" t="inlineStr" s="4">
        <is>
          <t>P1</t>
        </is>
      </c>
      <c r="N124" t="inlineStr" s="4">
        <is>
          <t>High</t>
        </is>
      </c>
      <c r="O124" t="inlineStr" s="4">
        <is>
          <t>Functional</t>
        </is>
      </c>
      <c r="P124" t="inlineStr" s="4">
        <is>
          <t>Staging / QA</t>
        </is>
      </c>
      <c r="Q124" t="inlineStr" s="4">
        <is>
          <t>Chrome desktop + Android Chrome unless specified</t>
        </is>
      </c>
      <c r="R124" t="inlineStr" s="4">
        <is>
          <t>/admin/wisata/*</t>
        </is>
      </c>
      <c r="S124" t="inlineStr" s="4">
        <is>
          <t>Maybe</t>
        </is>
      </c>
      <c r="T124" t="inlineStr" s="4">
        <is>
          <t>Yes</t>
        </is>
      </c>
      <c r="U124" t="inlineStr" s="4">
        <is>
          <t>Codex QA Generator</t>
        </is>
      </c>
      <c r="V124" s="4"/>
      <c r="W124" s="4"/>
      <c r="X124" s="4"/>
      <c r="Y124" s="4"/>
    </row>
    <row r="125" ht="54" customHeight="1">
      <c r="A125" t="inlineStr" s="4">
        <is>
          <t>TC-ADMIN-WISATA-021</t>
        </is>
      </c>
      <c r="B125" t="inlineStr" s="4">
        <is>
          <t>TS-ADMIN-WISATA-001</t>
        </is>
      </c>
      <c r="C125" t="inlineStr" s="4">
        <is>
          <t>Admin Wisata</t>
        </is>
      </c>
      <c r="D125" t="inlineStr" s="4">
        <is>
          <t>Destinations / Tickets / Booking / Finance / Voucher</t>
        </is>
      </c>
      <c r="E125" t="inlineStr" s="4">
        <is>
          <t>Voucher selected destination scope works</t>
        </is>
      </c>
      <c r="F125" t="inlineStr" s="4">
        <is>
          <t>Admin</t>
        </is>
      </c>
      <c r="G125" t="inlineStr" s="4">
        <is>
          <t>Admin is authenticated, verified, and has relevant permission.</t>
        </is>
      </c>
      <c r="H125" t="inlineStr" s="4">
        <is>
          <t>Destination_scope selected with destination IDs</t>
        </is>
      </c>
      <c r="I125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25" t="inlineStr" s="4">
        <is>
          <t>Voucher applies only to selected destinations.</t>
        </is>
      </c>
      <c r="K125" s="4"/>
      <c r="L125" t="inlineStr" s="4">
        <is>
          <t>Not Run</t>
        </is>
      </c>
      <c r="M125" t="inlineStr" s="4">
        <is>
          <t>P1</t>
        </is>
      </c>
      <c r="N125" t="inlineStr" s="4">
        <is>
          <t>High</t>
        </is>
      </c>
      <c r="O125" t="inlineStr" s="4">
        <is>
          <t>Functional</t>
        </is>
      </c>
      <c r="P125" t="inlineStr" s="4">
        <is>
          <t>Staging / QA</t>
        </is>
      </c>
      <c r="Q125" t="inlineStr" s="4">
        <is>
          <t>Chrome desktop + Android Chrome unless specified</t>
        </is>
      </c>
      <c r="R125" t="inlineStr" s="4">
        <is>
          <t>/admin/wisata/*</t>
        </is>
      </c>
      <c r="S125" t="inlineStr" s="4">
        <is>
          <t>Maybe</t>
        </is>
      </c>
      <c r="T125" t="inlineStr" s="4">
        <is>
          <t>Yes</t>
        </is>
      </c>
      <c r="U125" t="inlineStr" s="4">
        <is>
          <t>Codex QA Generator</t>
        </is>
      </c>
      <c r="V125" s="4"/>
      <c r="W125" s="4"/>
      <c r="X125" s="4"/>
      <c r="Y125" s="4"/>
    </row>
    <row r="126" ht="54" customHeight="1">
      <c r="A126" t="inlineStr" s="4">
        <is>
          <t>TC-ADMIN-WISATA-022</t>
        </is>
      </c>
      <c r="B126" t="inlineStr" s="4">
        <is>
          <t>TS-ADMIN-WISATA-001</t>
        </is>
      </c>
      <c r="C126" t="inlineStr" s="4">
        <is>
          <t>Admin Wisata</t>
        </is>
      </c>
      <c r="D126" t="inlineStr" s="4">
        <is>
          <t>Destinations / Tickets / Booking / Finance / Voucher</t>
        </is>
      </c>
      <c r="E126" t="inlineStr" s="4">
        <is>
          <t>Percentage voucher over 100 is rejected</t>
        </is>
      </c>
      <c r="F126" t="inlineStr" s="4">
        <is>
          <t>Admin</t>
        </is>
      </c>
      <c r="G126" t="inlineStr" s="4">
        <is>
          <t>Admin is authenticated, verified, and has relevant permission.</t>
        </is>
      </c>
      <c r="H126" t="inlineStr" s="4">
        <is>
          <t>discount_type percentage, value 101</t>
        </is>
      </c>
      <c r="I126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26" t="inlineStr" s="4">
        <is>
          <t>Validation rejects value.</t>
        </is>
      </c>
      <c r="K126" s="4"/>
      <c r="L126" t="inlineStr" s="4">
        <is>
          <t>Not Run</t>
        </is>
      </c>
      <c r="M126" t="inlineStr" s="4">
        <is>
          <t>P1</t>
        </is>
      </c>
      <c r="N126" t="inlineStr" s="4">
        <is>
          <t>High</t>
        </is>
      </c>
      <c r="O126" t="inlineStr" s="4">
        <is>
          <t>Functional</t>
        </is>
      </c>
      <c r="P126" t="inlineStr" s="4">
        <is>
          <t>Staging / QA</t>
        </is>
      </c>
      <c r="Q126" t="inlineStr" s="4">
        <is>
          <t>Chrome desktop + Android Chrome unless specified</t>
        </is>
      </c>
      <c r="R126" t="inlineStr" s="4">
        <is>
          <t>/admin/wisata/*</t>
        </is>
      </c>
      <c r="S126" t="inlineStr" s="4">
        <is>
          <t>Maybe</t>
        </is>
      </c>
      <c r="T126" t="inlineStr" s="4">
        <is>
          <t>Yes</t>
        </is>
      </c>
      <c r="U126" t="inlineStr" s="4">
        <is>
          <t>Codex QA Generator</t>
        </is>
      </c>
      <c r="V126" s="4"/>
      <c r="W126" s="4"/>
      <c r="X126" s="4"/>
      <c r="Y126" s="4"/>
    </row>
    <row r="127" ht="54" customHeight="1">
      <c r="A127" t="inlineStr" s="4">
        <is>
          <t>TC-ADMIN-WISATA-023</t>
        </is>
      </c>
      <c r="B127" t="inlineStr" s="4">
        <is>
          <t>TS-ADMIN-WISATA-001</t>
        </is>
      </c>
      <c r="C127" t="inlineStr" s="4">
        <is>
          <t>Admin Wisata</t>
        </is>
      </c>
      <c r="D127" t="inlineStr" s="4">
        <is>
          <t>Destinations / Tickets / Booking / Finance / Voucher</t>
        </is>
      </c>
      <c r="E127" t="inlineStr" s="4">
        <is>
          <t>Voucher code unique rule works</t>
        </is>
      </c>
      <c r="F127" t="inlineStr" s="4">
        <is>
          <t>Admin</t>
        </is>
      </c>
      <c r="G127" t="inlineStr" s="4">
        <is>
          <t>Admin is authenticated, verified, and has relevant permission.</t>
        </is>
      </c>
      <c r="H127" t="inlineStr" s="4">
        <is>
          <t>Duplicate voucher code</t>
        </is>
      </c>
      <c r="I127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27" t="inlineStr" s="4">
        <is>
          <t>Validation rejects duplicate.</t>
        </is>
      </c>
      <c r="K127" s="4"/>
      <c r="L127" t="inlineStr" s="4">
        <is>
          <t>Not Run</t>
        </is>
      </c>
      <c r="M127" t="inlineStr" s="4">
        <is>
          <t>P1</t>
        </is>
      </c>
      <c r="N127" t="inlineStr" s="4">
        <is>
          <t>High</t>
        </is>
      </c>
      <c r="O127" t="inlineStr" s="4">
        <is>
          <t>Functional</t>
        </is>
      </c>
      <c r="P127" t="inlineStr" s="4">
        <is>
          <t>Staging / QA</t>
        </is>
      </c>
      <c r="Q127" t="inlineStr" s="4">
        <is>
          <t>Chrome desktop + Android Chrome unless specified</t>
        </is>
      </c>
      <c r="R127" t="inlineStr" s="4">
        <is>
          <t>/admin/wisata/*</t>
        </is>
      </c>
      <c r="S127" t="inlineStr" s="4">
        <is>
          <t>Maybe</t>
        </is>
      </c>
      <c r="T127" t="inlineStr" s="4">
        <is>
          <t>Yes</t>
        </is>
      </c>
      <c r="U127" t="inlineStr" s="4">
        <is>
          <t>Codex QA Generator</t>
        </is>
      </c>
      <c r="V127" s="4"/>
      <c r="W127" s="4"/>
      <c r="X127" s="4"/>
      <c r="Y127" s="4"/>
    </row>
    <row r="128" ht="54" customHeight="1">
      <c r="A128" t="inlineStr" s="4">
        <is>
          <t>TC-ADMIN-WISATA-024</t>
        </is>
      </c>
      <c r="B128" t="inlineStr" s="4">
        <is>
          <t>TS-ADMIN-WISATA-001</t>
        </is>
      </c>
      <c r="C128" t="inlineStr" s="4">
        <is>
          <t>Admin Wisata</t>
        </is>
      </c>
      <c r="D128" t="inlineStr" s="4">
        <is>
          <t>Destinations / Tickets / Booking / Finance / Voucher</t>
        </is>
      </c>
      <c r="E128" t="inlineStr" s="4">
        <is>
          <t>QR template max character limits protect poster layout</t>
        </is>
      </c>
      <c r="F128" t="inlineStr" s="4">
        <is>
          <t>Admin</t>
        </is>
      </c>
      <c r="G128" t="inlineStr" s="4">
        <is>
          <t>Admin is authenticated, verified, and has relevant permission.</t>
        </is>
      </c>
      <c r="H128" t="inlineStr" s="4">
        <is>
          <t>Overlong template fields</t>
        </is>
      </c>
      <c r="I128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28" t="inlineStr" s="4">
        <is>
          <t>Validation rejects overlong text.</t>
        </is>
      </c>
      <c r="K128" s="4"/>
      <c r="L128" t="inlineStr" s="4">
        <is>
          <t>Not Run</t>
        </is>
      </c>
      <c r="M128" t="inlineStr" s="4">
        <is>
          <t>P1</t>
        </is>
      </c>
      <c r="N128" t="inlineStr" s="4">
        <is>
          <t>High</t>
        </is>
      </c>
      <c r="O128" t="inlineStr" s="4">
        <is>
          <t>Functional</t>
        </is>
      </c>
      <c r="P128" t="inlineStr" s="4">
        <is>
          <t>Staging / QA</t>
        </is>
      </c>
      <c r="Q128" t="inlineStr" s="4">
        <is>
          <t>Chrome desktop + Android Chrome unless specified</t>
        </is>
      </c>
      <c r="R128" t="inlineStr" s="4">
        <is>
          <t>/admin/wisata/*</t>
        </is>
      </c>
      <c r="S128" t="inlineStr" s="4">
        <is>
          <t>Maybe</t>
        </is>
      </c>
      <c r="T128" t="inlineStr" s="4">
        <is>
          <t>Yes</t>
        </is>
      </c>
      <c r="U128" t="inlineStr" s="4">
        <is>
          <t>Codex QA Generator</t>
        </is>
      </c>
      <c r="V128" s="4"/>
      <c r="W128" s="4"/>
      <c r="X128" s="4"/>
      <c r="Y128" s="4"/>
    </row>
    <row r="129" ht="54" customHeight="1">
      <c r="A129" t="inlineStr" s="4">
        <is>
          <t>TC-ADMIN-WISATA-025</t>
        </is>
      </c>
      <c r="B129" t="inlineStr" s="4">
        <is>
          <t>TS-ADMIN-WISATA-001</t>
        </is>
      </c>
      <c r="C129" t="inlineStr" s="4">
        <is>
          <t>Admin Wisata</t>
        </is>
      </c>
      <c r="D129" t="inlineStr" s="4">
        <is>
          <t>Destinations / Tickets / Booking / Finance / Voucher</t>
        </is>
      </c>
      <c r="E129" t="inlineStr" s="4">
        <is>
          <t>Admin audit logs show sensitive payload redacted</t>
        </is>
      </c>
      <c r="F129" t="inlineStr" s="4">
        <is>
          <t>Admin</t>
        </is>
      </c>
      <c r="G129" t="inlineStr" s="4">
        <is>
          <t>Admin is authenticated, verified, and has relevant permission.</t>
        </is>
      </c>
      <c r="H129" t="inlineStr" s="4">
        <is>
          <t>Audit log with payload</t>
        </is>
      </c>
      <c r="I129" t="inlineStr" s="4">
        <is>
          <t>1. Login as admin.
2. Open the route/module in the test data.
3. Perform the described action.
4. Verify UI state, validation, database-visible behavior, and public/API impact where applicable.</t>
        </is>
      </c>
      <c r="J129" t="inlineStr" s="4">
        <is>
          <t>Sensitive fields are redacted in UI.</t>
        </is>
      </c>
      <c r="K129" s="4"/>
      <c r="L129" t="inlineStr" s="4">
        <is>
          <t>Not Run</t>
        </is>
      </c>
      <c r="M129" t="inlineStr" s="4">
        <is>
          <t>P1</t>
        </is>
      </c>
      <c r="N129" t="inlineStr" s="4">
        <is>
          <t>High</t>
        </is>
      </c>
      <c r="O129" t="inlineStr" s="4">
        <is>
          <t>Functional</t>
        </is>
      </c>
      <c r="P129" t="inlineStr" s="4">
        <is>
          <t>Staging / QA</t>
        </is>
      </c>
      <c r="Q129" t="inlineStr" s="4">
        <is>
          <t>Chrome desktop + Android Chrome unless specified</t>
        </is>
      </c>
      <c r="R129" t="inlineStr" s="4">
        <is>
          <t>/admin/wisata/*</t>
        </is>
      </c>
      <c r="S129" t="inlineStr" s="4">
        <is>
          <t>Maybe</t>
        </is>
      </c>
      <c r="T129" t="inlineStr" s="4">
        <is>
          <t>Yes</t>
        </is>
      </c>
      <c r="U129" t="inlineStr" s="4">
        <is>
          <t>Codex QA Generator</t>
        </is>
      </c>
      <c r="V129" s="4"/>
      <c r="W129" s="4"/>
      <c r="X129" s="4"/>
      <c r="Y129" s="4"/>
    </row>
    <row r="130" ht="54" customHeight="1">
      <c r="A130" t="inlineStr" s="4">
        <is>
          <t>TC-ADMIN-MITRA-001</t>
        </is>
      </c>
      <c r="B130" t="inlineStr" s="4">
        <is>
          <t>TS-ADMIN-MITRA-001</t>
        </is>
      </c>
      <c r="C130" t="inlineStr" s="4">
        <is>
          <t>Admin Mitra Wisata</t>
        </is>
      </c>
      <c r="D130" t="inlineStr" s="4">
        <is>
          <t>Partner / Terms / Verification</t>
        </is>
      </c>
      <c r="E130" t="inlineStr" s="4">
        <is>
          <t>Mitra wisata list filters by verification status</t>
        </is>
      </c>
      <c r="F130" t="inlineStr" s="4">
        <is>
          <t>Admin</t>
        </is>
      </c>
      <c r="G130" t="inlineStr" s="4">
        <is>
          <t>Admin is authenticated; partner data exists for status-specific tests.</t>
        </is>
      </c>
      <c r="H130" t="inlineStr" s="4">
        <is>
          <t>/admin/mitra-wisata</t>
        </is>
      </c>
      <c r="I130" t="inlineStr" s="4">
        <is>
          <t>1. Login as admin.
2. Open mitra management route.
3. Perform the described action.
4. Verify partner state and access impact.</t>
        </is>
      </c>
      <c r="J130" t="inlineStr" s="4">
        <is>
          <t>Only matching partners appear and summary counts remain correct.</t>
        </is>
      </c>
      <c r="K130" s="4"/>
      <c r="L130" t="inlineStr" s="4">
        <is>
          <t>Not Run</t>
        </is>
      </c>
      <c r="M130" t="inlineStr" s="4">
        <is>
          <t>P1</t>
        </is>
      </c>
      <c r="N130" t="inlineStr" s="4">
        <is>
          <t>High</t>
        </is>
      </c>
      <c r="O130" t="inlineStr" s="4">
        <is>
          <t>Access Control</t>
        </is>
      </c>
      <c r="P130" t="inlineStr" s="4">
        <is>
          <t>Staging / QA</t>
        </is>
      </c>
      <c r="Q130" t="inlineStr" s="4">
        <is>
          <t>Chrome desktop + Android Chrome unless specified</t>
        </is>
      </c>
      <c r="R130" t="inlineStr" s="4">
        <is>
          <t>/admin/mitra-wisata, /admin/mitra-documents</t>
        </is>
      </c>
      <c r="S130" t="inlineStr" s="4">
        <is>
          <t>Maybe</t>
        </is>
      </c>
      <c r="T130" t="inlineStr" s="4">
        <is>
          <t>Yes</t>
        </is>
      </c>
      <c r="U130" t="inlineStr" s="4">
        <is>
          <t>Codex QA Generator</t>
        </is>
      </c>
      <c r="V130" s="4"/>
      <c r="W130" s="4"/>
      <c r="X130" s="4"/>
      <c r="Y130" s="4"/>
    </row>
    <row r="131" ht="54" customHeight="1">
      <c r="A131" t="inlineStr" s="4">
        <is>
          <t>TC-ADMIN-MITRA-002</t>
        </is>
      </c>
      <c r="B131" t="inlineStr" s="4">
        <is>
          <t>TS-ADMIN-MITRA-001</t>
        </is>
      </c>
      <c r="C131" t="inlineStr" s="4">
        <is>
          <t>Admin Mitra Wisata</t>
        </is>
      </c>
      <c r="D131" t="inlineStr" s="4">
        <is>
          <t>Partner / Terms / Verification</t>
        </is>
      </c>
      <c r="E131" t="inlineStr" s="4">
        <is>
          <t>Verify mitra wisata</t>
        </is>
      </c>
      <c r="F131" t="inlineStr" s="4">
        <is>
          <t>Admin</t>
        </is>
      </c>
      <c r="G131" t="inlineStr" s="4">
        <is>
          <t>Admin is authenticated; partner data exists for status-specific tests.</t>
        </is>
      </c>
      <c r="H131" t="inlineStr" s="4">
        <is>
          <t>Pending partner</t>
        </is>
      </c>
      <c r="I131" t="inlineStr" s="4">
        <is>
          <t>1. Login as admin.
2. Open mitra management route.
3. Perform the described action.
4. Verify partner state and access impact.</t>
        </is>
      </c>
      <c r="J131" t="inlineStr" s="4">
        <is>
          <t>Partner status becomes verified and operational routes become available.</t>
        </is>
      </c>
      <c r="K131" s="4"/>
      <c r="L131" t="inlineStr" s="4">
        <is>
          <t>Not Run</t>
        </is>
      </c>
      <c r="M131" t="inlineStr" s="4">
        <is>
          <t>P1</t>
        </is>
      </c>
      <c r="N131" t="inlineStr" s="4">
        <is>
          <t>High</t>
        </is>
      </c>
      <c r="O131" t="inlineStr" s="4">
        <is>
          <t>Access Control</t>
        </is>
      </c>
      <c r="P131" t="inlineStr" s="4">
        <is>
          <t>Staging / QA</t>
        </is>
      </c>
      <c r="Q131" t="inlineStr" s="4">
        <is>
          <t>Chrome desktop + Android Chrome unless specified</t>
        </is>
      </c>
      <c r="R131" t="inlineStr" s="4">
        <is>
          <t>/admin/mitra-wisata, /admin/mitra-documents</t>
        </is>
      </c>
      <c r="S131" t="inlineStr" s="4">
        <is>
          <t>Maybe</t>
        </is>
      </c>
      <c r="T131" t="inlineStr" s="4">
        <is>
          <t>Yes</t>
        </is>
      </c>
      <c r="U131" t="inlineStr" s="4">
        <is>
          <t>Codex QA Generator</t>
        </is>
      </c>
      <c r="V131" s="4"/>
      <c r="W131" s="4"/>
      <c r="X131" s="4"/>
      <c r="Y131" s="4"/>
    </row>
    <row r="132" ht="54" customHeight="1">
      <c r="A132" t="inlineStr" s="4">
        <is>
          <t>TC-ADMIN-MITRA-003</t>
        </is>
      </c>
      <c r="B132" t="inlineStr" s="4">
        <is>
          <t>TS-ADMIN-MITRA-001</t>
        </is>
      </c>
      <c r="C132" t="inlineStr" s="4">
        <is>
          <t>Admin Mitra Wisata</t>
        </is>
      </c>
      <c r="D132" t="inlineStr" s="4">
        <is>
          <t>Partner / Terms / Verification</t>
        </is>
      </c>
      <c r="E132" t="inlineStr" s="4">
        <is>
          <t>Suspend mitra wisata</t>
        </is>
      </c>
      <c r="F132" t="inlineStr" s="4">
        <is>
          <t>Admin</t>
        </is>
      </c>
      <c r="G132" t="inlineStr" s="4">
        <is>
          <t>Admin is authenticated; partner data exists for status-specific tests.</t>
        </is>
      </c>
      <c r="H132" t="inlineStr" s="4">
        <is>
          <t>Verified partner</t>
        </is>
      </c>
      <c r="I132" t="inlineStr" s="4">
        <is>
          <t>1. Login as admin.
2. Open mitra management route.
3. Perform the described action.
4. Verify partner state and access impact.</t>
        </is>
      </c>
      <c r="J132" t="inlineStr" s="4">
        <is>
          <t>Partner cannot update destination/tickets while suspended.</t>
        </is>
      </c>
      <c r="K132" s="4"/>
      <c r="L132" t="inlineStr" s="4">
        <is>
          <t>Not Run</t>
        </is>
      </c>
      <c r="M132" t="inlineStr" s="4">
        <is>
          <t>P1</t>
        </is>
      </c>
      <c r="N132" t="inlineStr" s="4">
        <is>
          <t>High</t>
        </is>
      </c>
      <c r="O132" t="inlineStr" s="4">
        <is>
          <t>Access Control</t>
        </is>
      </c>
      <c r="P132" t="inlineStr" s="4">
        <is>
          <t>Staging / QA</t>
        </is>
      </c>
      <c r="Q132" t="inlineStr" s="4">
        <is>
          <t>Chrome desktop + Android Chrome unless specified</t>
        </is>
      </c>
      <c r="R132" t="inlineStr" s="4">
        <is>
          <t>/admin/mitra-wisata, /admin/mitra-documents</t>
        </is>
      </c>
      <c r="S132" t="inlineStr" s="4">
        <is>
          <t>Maybe</t>
        </is>
      </c>
      <c r="T132" t="inlineStr" s="4">
        <is>
          <t>Yes</t>
        </is>
      </c>
      <c r="U132" t="inlineStr" s="4">
        <is>
          <t>Codex QA Generator</t>
        </is>
      </c>
      <c r="V132" s="4"/>
      <c r="W132" s="4"/>
      <c r="X132" s="4"/>
      <c r="Y132" s="4"/>
    </row>
    <row r="133" ht="54" customHeight="1">
      <c r="A133" t="inlineStr" s="4">
        <is>
          <t>TC-ADMIN-MITRA-004</t>
        </is>
      </c>
      <c r="B133" t="inlineStr" s="4">
        <is>
          <t>TS-ADMIN-MITRA-001</t>
        </is>
      </c>
      <c r="C133" t="inlineStr" s="4">
        <is>
          <t>Admin Mitra Wisata</t>
        </is>
      </c>
      <c r="D133" t="inlineStr" s="4">
        <is>
          <t>Partner / Terms / Verification</t>
        </is>
      </c>
      <c r="E133" t="inlineStr" s="4">
        <is>
          <t>Delete mitra wisata with related data</t>
        </is>
      </c>
      <c r="F133" t="inlineStr" s="4">
        <is>
          <t>Admin</t>
        </is>
      </c>
      <c r="G133" t="inlineStr" s="4">
        <is>
          <t>Admin is authenticated; partner data exists for status-specific tests.</t>
        </is>
      </c>
      <c r="H133" t="inlineStr" s="4">
        <is>
          <t>Partner with destination/tickets/uploads</t>
        </is>
      </c>
      <c r="I133" t="inlineStr" s="4">
        <is>
          <t>1. Login as admin.
2. Open mitra management route.
3. Perform the described action.
4. Verify partner state and access impact.</t>
        </is>
      </c>
      <c r="J133" t="inlineStr" s="4">
        <is>
          <t>Deletion service removes or preserves related data per business rule without orphan uploads.</t>
        </is>
      </c>
      <c r="K133" s="4"/>
      <c r="L133" t="inlineStr" s="4">
        <is>
          <t>Not Run</t>
        </is>
      </c>
      <c r="M133" t="inlineStr" s="4">
        <is>
          <t>P1</t>
        </is>
      </c>
      <c r="N133" t="inlineStr" s="4">
        <is>
          <t>High</t>
        </is>
      </c>
      <c r="O133" t="inlineStr" s="4">
        <is>
          <t>Access Control</t>
        </is>
      </c>
      <c r="P133" t="inlineStr" s="4">
        <is>
          <t>Staging / QA</t>
        </is>
      </c>
      <c r="Q133" t="inlineStr" s="4">
        <is>
          <t>Chrome desktop + Android Chrome unless specified</t>
        </is>
      </c>
      <c r="R133" t="inlineStr" s="4">
        <is>
          <t>/admin/mitra-wisata, /admin/mitra-documents</t>
        </is>
      </c>
      <c r="S133" t="inlineStr" s="4">
        <is>
          <t>Maybe</t>
        </is>
      </c>
      <c r="T133" t="inlineStr" s="4">
        <is>
          <t>Yes</t>
        </is>
      </c>
      <c r="U133" t="inlineStr" s="4">
        <is>
          <t>Codex QA Generator</t>
        </is>
      </c>
      <c r="V133" s="4"/>
      <c r="W133" s="4"/>
      <c r="X133" s="4"/>
      <c r="Y133" s="4"/>
    </row>
    <row r="134" ht="54" customHeight="1">
      <c r="A134" t="inlineStr" s="4">
        <is>
          <t>TC-ADMIN-MITRA-005</t>
        </is>
      </c>
      <c r="B134" t="inlineStr" s="4">
        <is>
          <t>TS-ADMIN-MITRA-001</t>
        </is>
      </c>
      <c r="C134" t="inlineStr" s="4">
        <is>
          <t>Admin Mitra Wisata</t>
        </is>
      </c>
      <c r="D134" t="inlineStr" s="4">
        <is>
          <t>Partner / Terms / Verification</t>
        </is>
      </c>
      <c r="E134" t="inlineStr" s="4">
        <is>
          <t>Terms document upload accepts PDF for wisata</t>
        </is>
      </c>
      <c r="F134" t="inlineStr" s="4">
        <is>
          <t>Admin</t>
        </is>
      </c>
      <c r="G134" t="inlineStr" s="4">
        <is>
          <t>Admin is authenticated; partner data exists for status-specific tests.</t>
        </is>
      </c>
      <c r="H134" t="inlineStr" s="4">
        <is>
          <t>PDF file</t>
        </is>
      </c>
      <c r="I134" t="inlineStr" s="4">
        <is>
          <t>1. Login as admin.
2. Open mitra management route.
3. Perform the described action.
4. Verify partner state and access impact.</t>
        </is>
      </c>
      <c r="J134" t="inlineStr" s="4">
        <is>
          <t>Document is stored and active document is shown to verified mitra.</t>
        </is>
      </c>
      <c r="K134" s="4"/>
      <c r="L134" t="inlineStr" s="4">
        <is>
          <t>Not Run</t>
        </is>
      </c>
      <c r="M134" t="inlineStr" s="4">
        <is>
          <t>P1</t>
        </is>
      </c>
      <c r="N134" t="inlineStr" s="4">
        <is>
          <t>High</t>
        </is>
      </c>
      <c r="O134" t="inlineStr" s="4">
        <is>
          <t>Access Control</t>
        </is>
      </c>
      <c r="P134" t="inlineStr" s="4">
        <is>
          <t>Staging / QA</t>
        </is>
      </c>
      <c r="Q134" t="inlineStr" s="4">
        <is>
          <t>Chrome desktop + Android Chrome unless specified</t>
        </is>
      </c>
      <c r="R134" t="inlineStr" s="4">
        <is>
          <t>/admin/mitra-wisata, /admin/mitra-documents</t>
        </is>
      </c>
      <c r="S134" t="inlineStr" s="4">
        <is>
          <t>Maybe</t>
        </is>
      </c>
      <c r="T134" t="inlineStr" s="4">
        <is>
          <t>Yes</t>
        </is>
      </c>
      <c r="U134" t="inlineStr" s="4">
        <is>
          <t>Codex QA Generator</t>
        </is>
      </c>
      <c r="V134" s="4"/>
      <c r="W134" s="4"/>
      <c r="X134" s="4"/>
      <c r="Y134" s="4"/>
    </row>
    <row r="135" ht="54" customHeight="1">
      <c r="A135" t="inlineStr" s="4">
        <is>
          <t>TC-ADMIN-MITRA-006</t>
        </is>
      </c>
      <c r="B135" t="inlineStr" s="4">
        <is>
          <t>TS-ADMIN-MITRA-001</t>
        </is>
      </c>
      <c r="C135" t="inlineStr" s="4">
        <is>
          <t>Admin Mitra Wisata</t>
        </is>
      </c>
      <c r="D135" t="inlineStr" s="4">
        <is>
          <t>Partner / Terms / Verification</t>
        </is>
      </c>
      <c r="E135" t="inlineStr" s="4">
        <is>
          <t>Terms document rejects non-PDF file</t>
        </is>
      </c>
      <c r="F135" t="inlineStr" s="4">
        <is>
          <t>Admin</t>
        </is>
      </c>
      <c r="G135" t="inlineStr" s="4">
        <is>
          <t>Admin is authenticated; partner data exists for status-specific tests.</t>
        </is>
      </c>
      <c r="H135" t="inlineStr" s="4">
        <is>
          <t>JPG/EXE file</t>
        </is>
      </c>
      <c r="I135" t="inlineStr" s="4">
        <is>
          <t>1. Login as admin.
2. Open mitra management route.
3. Perform the described action.
4. Verify partner state and access impact.</t>
        </is>
      </c>
      <c r="J135" t="inlineStr" s="4">
        <is>
          <t>Validation rejects file.</t>
        </is>
      </c>
      <c r="K135" s="4"/>
      <c r="L135" t="inlineStr" s="4">
        <is>
          <t>Not Run</t>
        </is>
      </c>
      <c r="M135" t="inlineStr" s="4">
        <is>
          <t>P1</t>
        </is>
      </c>
      <c r="N135" t="inlineStr" s="4">
        <is>
          <t>High</t>
        </is>
      </c>
      <c r="O135" t="inlineStr" s="4">
        <is>
          <t>Access Control</t>
        </is>
      </c>
      <c r="P135" t="inlineStr" s="4">
        <is>
          <t>Staging / QA</t>
        </is>
      </c>
      <c r="Q135" t="inlineStr" s="4">
        <is>
          <t>Chrome desktop + Android Chrome unless specified</t>
        </is>
      </c>
      <c r="R135" t="inlineStr" s="4">
        <is>
          <t>/admin/mitra-wisata, /admin/mitra-documents</t>
        </is>
      </c>
      <c r="S135" t="inlineStr" s="4">
        <is>
          <t>Maybe</t>
        </is>
      </c>
      <c r="T135" t="inlineStr" s="4">
        <is>
          <t>Yes</t>
        </is>
      </c>
      <c r="U135" t="inlineStr" s="4">
        <is>
          <t>Codex QA Generator</t>
        </is>
      </c>
      <c r="V135" s="4"/>
      <c r="W135" s="4"/>
      <c r="X135" s="4"/>
      <c r="Y135" s="4"/>
    </row>
    <row r="136" ht="54" customHeight="1">
      <c r="A136" t="inlineStr" s="4">
        <is>
          <t>TC-ADMIN-MITRA-007</t>
        </is>
      </c>
      <c r="B136" t="inlineStr" s="4">
        <is>
          <t>TS-ADMIN-MITRA-001</t>
        </is>
      </c>
      <c r="C136" t="inlineStr" s="4">
        <is>
          <t>Admin Mitra Wisata</t>
        </is>
      </c>
      <c r="D136" t="inlineStr" s="4">
        <is>
          <t>Partner / Terms / Verification</t>
        </is>
      </c>
      <c r="E136" t="inlineStr" s="4">
        <is>
          <t>Non-admin cannot access mitra management</t>
        </is>
      </c>
      <c r="F136" t="inlineStr" s="4">
        <is>
          <t>Admin</t>
        </is>
      </c>
      <c r="G136" t="inlineStr" s="4">
        <is>
          <t>Admin is authenticated; partner data exists for status-specific tests.</t>
        </is>
      </c>
      <c r="H136" t="inlineStr" s="4">
        <is>
          <t>User/Mitra session</t>
        </is>
      </c>
      <c r="I136" t="inlineStr" s="4">
        <is>
          <t>1. Login as admin.
2. Open mitra management route.
3. Perform the described action.
4. Verify partner state and access impact.</t>
        </is>
      </c>
      <c r="J136" t="inlineStr" s="4">
        <is>
          <t>Request is denied.</t>
        </is>
      </c>
      <c r="K136" s="4"/>
      <c r="L136" t="inlineStr" s="4">
        <is>
          <t>Not Run</t>
        </is>
      </c>
      <c r="M136" t="inlineStr" s="4">
        <is>
          <t>P1</t>
        </is>
      </c>
      <c r="N136" t="inlineStr" s="4">
        <is>
          <t>High</t>
        </is>
      </c>
      <c r="O136" t="inlineStr" s="4">
        <is>
          <t>Access Control</t>
        </is>
      </c>
      <c r="P136" t="inlineStr" s="4">
        <is>
          <t>Staging / QA</t>
        </is>
      </c>
      <c r="Q136" t="inlineStr" s="4">
        <is>
          <t>Chrome desktop + Android Chrome unless specified</t>
        </is>
      </c>
      <c r="R136" t="inlineStr" s="4">
        <is>
          <t>/admin/mitra-wisata, /admin/mitra-documents</t>
        </is>
      </c>
      <c r="S136" t="inlineStr" s="4">
        <is>
          <t>Maybe</t>
        </is>
      </c>
      <c r="T136" t="inlineStr" s="4">
        <is>
          <t>Yes</t>
        </is>
      </c>
      <c r="U136" t="inlineStr" s="4">
        <is>
          <t>Codex QA Generator</t>
        </is>
      </c>
      <c r="V136" s="4"/>
      <c r="W136" s="4"/>
      <c r="X136" s="4"/>
      <c r="Y136" s="4"/>
    </row>
    <row r="137" ht="54" customHeight="1">
      <c r="A137" t="inlineStr" s="4">
        <is>
          <t>TC-MITRA-001</t>
        </is>
      </c>
      <c r="B137" t="inlineStr" s="4">
        <is>
          <t>TS-MITRA-001</t>
        </is>
      </c>
      <c r="C137" t="inlineStr" s="4">
        <is>
          <t>Mitra Wisata</t>
        </is>
      </c>
      <c r="D137" t="inlineStr" s="4">
        <is>
          <t>Dashboard / Destination / Tickets / Booking / QR / Finance</t>
        </is>
      </c>
      <c r="E137" t="inlineStr" s="4">
        <is>
          <t>Mitra dashboard summarizes wisata-only metrics</t>
        </is>
      </c>
      <c r="F137" t="inlineStr" s="4">
        <is>
          <t>Mitra</t>
        </is>
      </c>
      <c r="G137" t="inlineStr" s="4">
        <is>
          <t>Mitra account is verified for operational routes unless onboarding test.</t>
        </is>
      </c>
      <c r="H137" t="inlineStr" s="4">
        <is>
          <t>/mitra/dashboard</t>
        </is>
      </c>
      <c r="I137" t="inlineStr" s="4">
        <is>
          <t>1. Login as mitra.
2. Open the relevant mitra wisata page.
3. Execute action using own and cross-owner data where applicable.
4. Verify ownership scope, validation, and UI result.</t>
        </is>
      </c>
      <c r="J137" t="inlineStr" s="4">
        <is>
          <t>Dashboard shows wisata destinations, bookings, tickets, scans, and revenue, not hotel/event metrics.</t>
        </is>
      </c>
      <c r="K137" s="4"/>
      <c r="L137" t="inlineStr" s="4">
        <is>
          <t>Not Run</t>
        </is>
      </c>
      <c r="M137" t="inlineStr" s="4">
        <is>
          <t>P1</t>
        </is>
      </c>
      <c r="N137" t="inlineStr" s="4">
        <is>
          <t>High</t>
        </is>
      </c>
      <c r="O137" t="inlineStr" s="4">
        <is>
          <t>Access Control</t>
        </is>
      </c>
      <c r="P137" t="inlineStr" s="4">
        <is>
          <t>Staging / QA</t>
        </is>
      </c>
      <c r="Q137" t="inlineStr" s="4">
        <is>
          <t>Chrome desktop + Android Chrome unless specified</t>
        </is>
      </c>
      <c r="R137" t="inlineStr" s="4">
        <is>
          <t>/mitra/wisata/*</t>
        </is>
      </c>
      <c r="S137" t="inlineStr" s="4">
        <is>
          <t>Maybe</t>
        </is>
      </c>
      <c r="T137" t="inlineStr" s="4">
        <is>
          <t>Yes</t>
        </is>
      </c>
      <c r="U137" t="inlineStr" s="4">
        <is>
          <t>Codex QA Generator</t>
        </is>
      </c>
      <c r="V137" s="4"/>
      <c r="W137" s="4"/>
      <c r="X137" s="4"/>
      <c r="Y137" s="4"/>
    </row>
    <row r="138" ht="54" customHeight="1">
      <c r="A138" t="inlineStr" s="4">
        <is>
          <t>TC-MITRA-002</t>
        </is>
      </c>
      <c r="B138" t="inlineStr" s="4">
        <is>
          <t>TS-MITRA-001</t>
        </is>
      </c>
      <c r="C138" t="inlineStr" s="4">
        <is>
          <t>Mitra Wisata</t>
        </is>
      </c>
      <c r="D138" t="inlineStr" s="4">
        <is>
          <t>Dashboard / Destination / Tickets / Booking / QR / Finance</t>
        </is>
      </c>
      <c r="E138" t="inlineStr" s="4">
        <is>
          <t>Mitra onboarding allows only wisata business type</t>
        </is>
      </c>
      <c r="F138" t="inlineStr" s="4">
        <is>
          <t>Mitra</t>
        </is>
      </c>
      <c r="G138" t="inlineStr" s="4">
        <is>
          <t>Mitra account is verified for operational routes unless onboarding test.</t>
        </is>
      </c>
      <c r="H138" t="inlineStr" s="4">
        <is>
          <t>/mitra/wisata/onboarding</t>
        </is>
      </c>
      <c r="I138" t="inlineStr" s="4">
        <is>
          <t>1. Login as mitra.
2. Open the relevant mitra wisata page.
3. Execute action using own and cross-owner data where applicable.
4. Verify ownership scope, validation, and UI result.</t>
        </is>
      </c>
      <c r="J138" t="inlineStr" s="4">
        <is>
          <t>Mitra cannot choose hotel/event onboarding path.</t>
        </is>
      </c>
      <c r="K138" s="4"/>
      <c r="L138" t="inlineStr" s="4">
        <is>
          <t>Not Run</t>
        </is>
      </c>
      <c r="M138" t="inlineStr" s="4">
        <is>
          <t>P1</t>
        </is>
      </c>
      <c r="N138" t="inlineStr" s="4">
        <is>
          <t>High</t>
        </is>
      </c>
      <c r="O138" t="inlineStr" s="4">
        <is>
          <t>Access Control</t>
        </is>
      </c>
      <c r="P138" t="inlineStr" s="4">
        <is>
          <t>Staging / QA</t>
        </is>
      </c>
      <c r="Q138" t="inlineStr" s="4">
        <is>
          <t>Chrome desktop + Android Chrome unless specified</t>
        </is>
      </c>
      <c r="R138" t="inlineStr" s="4">
        <is>
          <t>/mitra/wisata/*</t>
        </is>
      </c>
      <c r="S138" t="inlineStr" s="4">
        <is>
          <t>Maybe</t>
        </is>
      </c>
      <c r="T138" t="inlineStr" s="4">
        <is>
          <t>Yes</t>
        </is>
      </c>
      <c r="U138" t="inlineStr" s="4">
        <is>
          <t>Codex QA Generator</t>
        </is>
      </c>
      <c r="V138" s="4"/>
      <c r="W138" s="4"/>
      <c r="X138" s="4"/>
      <c r="Y138" s="4"/>
    </row>
    <row r="139" ht="54" customHeight="1">
      <c r="A139" t="inlineStr" s="4">
        <is>
          <t>TC-MITRA-003</t>
        </is>
      </c>
      <c r="B139" t="inlineStr" s="4">
        <is>
          <t>TS-MITRA-001</t>
        </is>
      </c>
      <c r="C139" t="inlineStr" s="4">
        <is>
          <t>Mitra Wisata</t>
        </is>
      </c>
      <c r="D139" t="inlineStr" s="4">
        <is>
          <t>Dashboard / Destination / Tickets / Booking / QR / Finance</t>
        </is>
      </c>
      <c r="E139" t="inlineStr" s="4">
        <is>
          <t>Mitra updates destination required fields</t>
        </is>
      </c>
      <c r="F139" t="inlineStr" s="4">
        <is>
          <t>Mitra</t>
        </is>
      </c>
      <c r="G139" t="inlineStr" s="4">
        <is>
          <t>Mitra account is verified for operational routes unless onboarding test.</t>
        </is>
      </c>
      <c r="H139" t="inlineStr" s="4">
        <is>
          <t>Valid destination_name, type, province, city, address textarea</t>
        </is>
      </c>
      <c r="I139" t="inlineStr" s="4">
        <is>
          <t>1. Login as mitra.
2. Open the relevant mitra wisata page.
3. Execute action using own and cross-owner data where applicable.
4. Verify ownership scope, validation, and UI result.</t>
        </is>
      </c>
      <c r="J139" t="inlineStr" s="4">
        <is>
          <t>Destination profile is updated and public product photo can be used on catalog/detail.</t>
        </is>
      </c>
      <c r="K139" s="4"/>
      <c r="L139" t="inlineStr" s="4">
        <is>
          <t>Not Run</t>
        </is>
      </c>
      <c r="M139" t="inlineStr" s="4">
        <is>
          <t>P1</t>
        </is>
      </c>
      <c r="N139" t="inlineStr" s="4">
        <is>
          <t>High</t>
        </is>
      </c>
      <c r="O139" t="inlineStr" s="4">
        <is>
          <t>Access Control</t>
        </is>
      </c>
      <c r="P139" t="inlineStr" s="4">
        <is>
          <t>Staging / QA</t>
        </is>
      </c>
      <c r="Q139" t="inlineStr" s="4">
        <is>
          <t>Chrome desktop + Android Chrome unless specified</t>
        </is>
      </c>
      <c r="R139" t="inlineStr" s="4">
        <is>
          <t>/mitra/wisata/*</t>
        </is>
      </c>
      <c r="S139" t="inlineStr" s="4">
        <is>
          <t>Maybe</t>
        </is>
      </c>
      <c r="T139" t="inlineStr" s="4">
        <is>
          <t>Yes</t>
        </is>
      </c>
      <c r="U139" t="inlineStr" s="4">
        <is>
          <t>Codex QA Generator</t>
        </is>
      </c>
      <c r="V139" s="4"/>
      <c r="W139" s="4"/>
      <c r="X139" s="4"/>
      <c r="Y139" s="4"/>
    </row>
    <row r="140" ht="54" customHeight="1">
      <c r="A140" t="inlineStr" s="4">
        <is>
          <t>TC-MITRA-004</t>
        </is>
      </c>
      <c r="B140" t="inlineStr" s="4">
        <is>
          <t>TS-MITRA-001</t>
        </is>
      </c>
      <c r="C140" t="inlineStr" s="4">
        <is>
          <t>Mitra Wisata</t>
        </is>
      </c>
      <c r="D140" t="inlineStr" s="4">
        <is>
          <t>Dashboard / Destination / Tickets / Booking / QR / Finance</t>
        </is>
      </c>
      <c r="E140" t="inlineStr" s="4">
        <is>
          <t>Mitra destination upload rejects invalid file</t>
        </is>
      </c>
      <c r="F140" t="inlineStr" s="4">
        <is>
          <t>Mitra</t>
        </is>
      </c>
      <c r="G140" t="inlineStr" s="4">
        <is>
          <t>Mitra account is verified for operational routes unless onboarding test.</t>
        </is>
      </c>
      <c r="H140" t="inlineStr" s="4">
        <is>
          <t>Executable file for photo_product_file</t>
        </is>
      </c>
      <c r="I140" t="inlineStr" s="4">
        <is>
          <t>1. Login as mitra.
2. Open the relevant mitra wisata page.
3. Execute action using own and cross-owner data where applicable.
4. Verify ownership scope, validation, and UI result.</t>
        </is>
      </c>
      <c r="J140" t="inlineStr" s="4">
        <is>
          <t>Validation rejects upload.</t>
        </is>
      </c>
      <c r="K140" s="4"/>
      <c r="L140" t="inlineStr" s="4">
        <is>
          <t>Not Run</t>
        </is>
      </c>
      <c r="M140" t="inlineStr" s="4">
        <is>
          <t>P1</t>
        </is>
      </c>
      <c r="N140" t="inlineStr" s="4">
        <is>
          <t>High</t>
        </is>
      </c>
      <c r="O140" t="inlineStr" s="4">
        <is>
          <t>Access Control</t>
        </is>
      </c>
      <c r="P140" t="inlineStr" s="4">
        <is>
          <t>Staging / QA</t>
        </is>
      </c>
      <c r="Q140" t="inlineStr" s="4">
        <is>
          <t>Chrome desktop + Android Chrome unless specified</t>
        </is>
      </c>
      <c r="R140" t="inlineStr" s="4">
        <is>
          <t>/mitra/wisata/*</t>
        </is>
      </c>
      <c r="S140" t="inlineStr" s="4">
        <is>
          <t>Maybe</t>
        </is>
      </c>
      <c r="T140" t="inlineStr" s="4">
        <is>
          <t>Yes</t>
        </is>
      </c>
      <c r="U140" t="inlineStr" s="4">
        <is>
          <t>Codex QA Generator</t>
        </is>
      </c>
      <c r="V140" s="4"/>
      <c r="W140" s="4"/>
      <c r="X140" s="4"/>
      <c r="Y140" s="4"/>
    </row>
    <row r="141" ht="54" customHeight="1">
      <c r="A141" t="inlineStr" s="4">
        <is>
          <t>TC-MITRA-005</t>
        </is>
      </c>
      <c r="B141" t="inlineStr" s="4">
        <is>
          <t>TS-MITRA-001</t>
        </is>
      </c>
      <c r="C141" t="inlineStr" s="4">
        <is>
          <t>Mitra Wisata</t>
        </is>
      </c>
      <c r="D141" t="inlineStr" s="4">
        <is>
          <t>Dashboard / Destination / Tickets / Booking / QR / Finance</t>
        </is>
      </c>
      <c r="E141" t="inlineStr" s="4">
        <is>
          <t>Mitra suspended destination update blocked</t>
        </is>
      </c>
      <c r="F141" t="inlineStr" s="4">
        <is>
          <t>Mitra</t>
        </is>
      </c>
      <c r="G141" t="inlineStr" s="4">
        <is>
          <t>Mitra account is verified for operational routes unless onboarding test.</t>
        </is>
      </c>
      <c r="H141" t="inlineStr" s="4">
        <is>
          <t>Suspended partner/destination</t>
        </is>
      </c>
      <c r="I141" t="inlineStr" s="4">
        <is>
          <t>1. Login as mitra.
2. Open the relevant mitra wisata page.
3. Execute action using own and cross-owner data where applicable.
4. Verify ownership scope, validation, and UI result.</t>
        </is>
      </c>
      <c r="J141" t="inlineStr" s="4">
        <is>
          <t>Update is rejected and data remains unchanged.</t>
        </is>
      </c>
      <c r="K141" s="4"/>
      <c r="L141" t="inlineStr" s="4">
        <is>
          <t>Not Run</t>
        </is>
      </c>
      <c r="M141" t="inlineStr" s="4">
        <is>
          <t>P1</t>
        </is>
      </c>
      <c r="N141" t="inlineStr" s="4">
        <is>
          <t>High</t>
        </is>
      </c>
      <c r="O141" t="inlineStr" s="4">
        <is>
          <t>Access Control</t>
        </is>
      </c>
      <c r="P141" t="inlineStr" s="4">
        <is>
          <t>Staging / QA</t>
        </is>
      </c>
      <c r="Q141" t="inlineStr" s="4">
        <is>
          <t>Chrome desktop + Android Chrome unless specified</t>
        </is>
      </c>
      <c r="R141" t="inlineStr" s="4">
        <is>
          <t>/mitra/wisata/*</t>
        </is>
      </c>
      <c r="S141" t="inlineStr" s="4">
        <is>
          <t>Maybe</t>
        </is>
      </c>
      <c r="T141" t="inlineStr" s="4">
        <is>
          <t>Yes</t>
        </is>
      </c>
      <c r="U141" t="inlineStr" s="4">
        <is>
          <t>Codex QA Generator</t>
        </is>
      </c>
      <c r="V141" s="4"/>
      <c r="W141" s="4"/>
      <c r="X141" s="4"/>
      <c r="Y141" s="4"/>
    </row>
    <row r="142" ht="54" customHeight="1">
      <c r="A142" t="inlineStr" s="4">
        <is>
          <t>TC-MITRA-006</t>
        </is>
      </c>
      <c r="B142" t="inlineStr" s="4">
        <is>
          <t>TS-MITRA-001</t>
        </is>
      </c>
      <c r="C142" t="inlineStr" s="4">
        <is>
          <t>Mitra Wisata</t>
        </is>
      </c>
      <c r="D142" t="inlineStr" s="4">
        <is>
          <t>Dashboard / Destination / Tickets / Booking / QR / Finance</t>
        </is>
      </c>
      <c r="E142" t="inlineStr" s="4">
        <is>
          <t>Mitra ticket list only shows owned destination tickets</t>
        </is>
      </c>
      <c r="F142" t="inlineStr" s="4">
        <is>
          <t>Mitra</t>
        </is>
      </c>
      <c r="G142" t="inlineStr" s="4">
        <is>
          <t>Mitra account is verified for operational routes unless onboarding test.</t>
        </is>
      </c>
      <c r="H142" t="inlineStr" s="4">
        <is>
          <t>Mitra A with own destination, Mitra B ticket exists</t>
        </is>
      </c>
      <c r="I142" t="inlineStr" s="4">
        <is>
          <t>1. Login as mitra.
2. Open the relevant mitra wisata page.
3. Execute action using own and cross-owner data where applicable.
4. Verify ownership scope, validation, and UI result.</t>
        </is>
      </c>
      <c r="J142" t="inlineStr" s="4">
        <is>
          <t>Mitra A sees only own tickets.</t>
        </is>
      </c>
      <c r="K142" s="4"/>
      <c r="L142" t="inlineStr" s="4">
        <is>
          <t>Not Run</t>
        </is>
      </c>
      <c r="M142" t="inlineStr" s="4">
        <is>
          <t>P0</t>
        </is>
      </c>
      <c r="N142" t="inlineStr" s="4">
        <is>
          <t>High</t>
        </is>
      </c>
      <c r="O142" t="inlineStr" s="4">
        <is>
          <t>Access Control</t>
        </is>
      </c>
      <c r="P142" t="inlineStr" s="4">
        <is>
          <t>Staging / QA</t>
        </is>
      </c>
      <c r="Q142" t="inlineStr" s="4">
        <is>
          <t>Chrome desktop + Android Chrome unless specified</t>
        </is>
      </c>
      <c r="R142" t="inlineStr" s="4">
        <is>
          <t>/mitra/wisata/*</t>
        </is>
      </c>
      <c r="S142" t="inlineStr" s="4">
        <is>
          <t>Maybe</t>
        </is>
      </c>
      <c r="T142" t="inlineStr" s="4">
        <is>
          <t>Yes</t>
        </is>
      </c>
      <c r="U142" t="inlineStr" s="4">
        <is>
          <t>Codex QA Generator</t>
        </is>
      </c>
      <c r="V142" s="4"/>
      <c r="W142" s="4"/>
      <c r="X142" s="4"/>
      <c r="Y142" s="4"/>
    </row>
    <row r="143" ht="54" customHeight="1">
      <c r="A143" t="inlineStr" s="4">
        <is>
          <t>TC-MITRA-007</t>
        </is>
      </c>
      <c r="B143" t="inlineStr" s="4">
        <is>
          <t>TS-MITRA-001</t>
        </is>
      </c>
      <c r="C143" t="inlineStr" s="4">
        <is>
          <t>Mitra Wisata</t>
        </is>
      </c>
      <c r="D143" t="inlineStr" s="4">
        <is>
          <t>Dashboard / Destination / Tickets / Booking / QR / Finance</t>
        </is>
      </c>
      <c r="E143" t="inlineStr" s="4">
        <is>
          <t>Mitra creates single ticket with order limits</t>
        </is>
      </c>
      <c r="F143" t="inlineStr" s="4">
        <is>
          <t>Mitra</t>
        </is>
      </c>
      <c r="G143" t="inlineStr" s="4">
        <is>
          <t>Mitra account is verified for operational routes unless onboarding test.</t>
        </is>
      </c>
      <c r="H143" t="inlineStr" s="4">
        <is>
          <t>Valid owned destination ticket data</t>
        </is>
      </c>
      <c r="I143" t="inlineStr" s="4">
        <is>
          <t>1. Login as mitra.
2. Open the relevant mitra wisata page.
3. Execute action using own and cross-owner data where applicable.
4. Verify ownership scope, validation, and UI result.</t>
        </is>
      </c>
      <c r="J143" t="inlineStr" s="4">
        <is>
          <t>Ticket is created and checkout enforces min/max.</t>
        </is>
      </c>
      <c r="K143" s="4"/>
      <c r="L143" t="inlineStr" s="4">
        <is>
          <t>Not Run</t>
        </is>
      </c>
      <c r="M143" t="inlineStr" s="4">
        <is>
          <t>P1</t>
        </is>
      </c>
      <c r="N143" t="inlineStr" s="4">
        <is>
          <t>High</t>
        </is>
      </c>
      <c r="O143" t="inlineStr" s="4">
        <is>
          <t>Access Control</t>
        </is>
      </c>
      <c r="P143" t="inlineStr" s="4">
        <is>
          <t>Staging / QA</t>
        </is>
      </c>
      <c r="Q143" t="inlineStr" s="4">
        <is>
          <t>Chrome desktop + Android Chrome unless specified</t>
        </is>
      </c>
      <c r="R143" t="inlineStr" s="4">
        <is>
          <t>/mitra/wisata/*</t>
        </is>
      </c>
      <c r="S143" t="inlineStr" s="4">
        <is>
          <t>Maybe</t>
        </is>
      </c>
      <c r="T143" t="inlineStr" s="4">
        <is>
          <t>Yes</t>
        </is>
      </c>
      <c r="U143" t="inlineStr" s="4">
        <is>
          <t>Codex QA Generator</t>
        </is>
      </c>
      <c r="V143" s="4"/>
      <c r="W143" s="4"/>
      <c r="X143" s="4"/>
      <c r="Y143" s="4"/>
    </row>
    <row r="144" ht="54" customHeight="1">
      <c r="A144" t="inlineStr" s="4">
        <is>
          <t>TC-MITRA-008</t>
        </is>
      </c>
      <c r="B144" t="inlineStr" s="4">
        <is>
          <t>TS-MITRA-001</t>
        </is>
      </c>
      <c r="C144" t="inlineStr" s="4">
        <is>
          <t>Mitra Wisata</t>
        </is>
      </c>
      <c r="D144" t="inlineStr" s="4">
        <is>
          <t>Dashboard / Destination / Tickets / Booking / QR / Finance</t>
        </is>
      </c>
      <c r="E144" t="inlineStr" s="4">
        <is>
          <t>Mitra cannot create ticket for another destination</t>
        </is>
      </c>
      <c r="F144" t="inlineStr" s="4">
        <is>
          <t>Mitra</t>
        </is>
      </c>
      <c r="G144" t="inlineStr" s="4">
        <is>
          <t>Mitra account is verified for operational routes unless onboarding test.</t>
        </is>
      </c>
      <c r="H144" t="inlineStr" s="4">
        <is>
          <t>Other mitra destination id</t>
        </is>
      </c>
      <c r="I144" t="inlineStr" s="4">
        <is>
          <t>1. Login as mitra.
2. Open the relevant mitra wisata page.
3. Execute action using own and cross-owner data where applicable.
4. Verify ownership scope, validation, and UI result.</t>
        </is>
      </c>
      <c r="J144" t="inlineStr" s="4">
        <is>
          <t>Request is denied.</t>
        </is>
      </c>
      <c r="K144" s="4"/>
      <c r="L144" t="inlineStr" s="4">
        <is>
          <t>Not Run</t>
        </is>
      </c>
      <c r="M144" t="inlineStr" s="4">
        <is>
          <t>P0</t>
        </is>
      </c>
      <c r="N144" t="inlineStr" s="4">
        <is>
          <t>Critical</t>
        </is>
      </c>
      <c r="O144" t="inlineStr" s="4">
        <is>
          <t>Access Control</t>
        </is>
      </c>
      <c r="P144" t="inlineStr" s="4">
        <is>
          <t>Staging / QA</t>
        </is>
      </c>
      <c r="Q144" t="inlineStr" s="4">
        <is>
          <t>Chrome desktop + Android Chrome unless specified</t>
        </is>
      </c>
      <c r="R144" t="inlineStr" s="4">
        <is>
          <t>/mitra/wisata/*</t>
        </is>
      </c>
      <c r="S144" t="inlineStr" s="4">
        <is>
          <t>Maybe</t>
        </is>
      </c>
      <c r="T144" t="inlineStr" s="4">
        <is>
          <t>Yes</t>
        </is>
      </c>
      <c r="U144" t="inlineStr" s="4">
        <is>
          <t>Codex QA Generator</t>
        </is>
      </c>
      <c r="V144" s="4"/>
      <c r="W144" s="4"/>
      <c r="X144" s="4"/>
      <c r="Y144" s="4"/>
    </row>
    <row r="145" ht="54" customHeight="1">
      <c r="A145" t="inlineStr" s="4">
        <is>
          <t>TC-MITRA-009</t>
        </is>
      </c>
      <c r="B145" t="inlineStr" s="4">
        <is>
          <t>TS-MITRA-001</t>
        </is>
      </c>
      <c r="C145" t="inlineStr" s="4">
        <is>
          <t>Mitra Wisata</t>
        </is>
      </c>
      <c r="D145" t="inlineStr" s="4">
        <is>
          <t>Dashboard / Destination / Tickets / Booking / QR / Finance</t>
        </is>
      </c>
      <c r="E145" t="inlineStr" s="4">
        <is>
          <t>Mitra edits own ticket</t>
        </is>
      </c>
      <c r="F145" t="inlineStr" s="4">
        <is>
          <t>Mitra</t>
        </is>
      </c>
      <c r="G145" t="inlineStr" s="4">
        <is>
          <t>Mitra account is verified for operational routes unless onboarding test.</t>
        </is>
      </c>
      <c r="H145" t="inlineStr" s="4">
        <is>
          <t>Existing owned ticket</t>
        </is>
      </c>
      <c r="I145" t="inlineStr" s="4">
        <is>
          <t>1. Login as mitra.
2. Open the relevant mitra wisata page.
3. Execute action using own and cross-owner data where applicable.
4. Verify ownership scope, validation, and UI result.</t>
        </is>
      </c>
      <c r="J145" t="inlineStr" s="4">
        <is>
          <t>Ticket updates persist.</t>
        </is>
      </c>
      <c r="K145" s="4"/>
      <c r="L145" t="inlineStr" s="4">
        <is>
          <t>Not Run</t>
        </is>
      </c>
      <c r="M145" t="inlineStr" s="4">
        <is>
          <t>P1</t>
        </is>
      </c>
      <c r="N145" t="inlineStr" s="4">
        <is>
          <t>High</t>
        </is>
      </c>
      <c r="O145" t="inlineStr" s="4">
        <is>
          <t>Access Control</t>
        </is>
      </c>
      <c r="P145" t="inlineStr" s="4">
        <is>
          <t>Staging / QA</t>
        </is>
      </c>
      <c r="Q145" t="inlineStr" s="4">
        <is>
          <t>Chrome desktop + Android Chrome unless specified</t>
        </is>
      </c>
      <c r="R145" t="inlineStr" s="4">
        <is>
          <t>/mitra/wisata/*</t>
        </is>
      </c>
      <c r="S145" t="inlineStr" s="4">
        <is>
          <t>Maybe</t>
        </is>
      </c>
      <c r="T145" t="inlineStr" s="4">
        <is>
          <t>Yes</t>
        </is>
      </c>
      <c r="U145" t="inlineStr" s="4">
        <is>
          <t>Codex QA Generator</t>
        </is>
      </c>
      <c r="V145" s="4"/>
      <c r="W145" s="4"/>
      <c r="X145" s="4"/>
      <c r="Y145" s="4"/>
    </row>
    <row r="146" ht="54" customHeight="1">
      <c r="A146" t="inlineStr" s="4">
        <is>
          <t>TC-MITRA-010</t>
        </is>
      </c>
      <c r="B146" t="inlineStr" s="4">
        <is>
          <t>TS-MITRA-001</t>
        </is>
      </c>
      <c r="C146" t="inlineStr" s="4">
        <is>
          <t>Mitra Wisata</t>
        </is>
      </c>
      <c r="D146" t="inlineStr" s="4">
        <is>
          <t>Dashboard / Destination / Tickets / Booking / QR / Finance</t>
        </is>
      </c>
      <c r="E146" t="inlineStr" s="4">
        <is>
          <t>Mitra cannot edit another mitra ticket</t>
        </is>
      </c>
      <c r="F146" t="inlineStr" s="4">
        <is>
          <t>Mitra</t>
        </is>
      </c>
      <c r="G146" t="inlineStr" s="4">
        <is>
          <t>Mitra account is verified for operational routes unless onboarding test.</t>
        </is>
      </c>
      <c r="H146" t="inlineStr" s="4">
        <is>
          <t>Ticket owned by another mitra</t>
        </is>
      </c>
      <c r="I146" t="inlineStr" s="4">
        <is>
          <t>1. Login as mitra.
2. Open the relevant mitra wisata page.
3. Execute action using own and cross-owner data where applicable.
4. Verify ownership scope, validation, and UI result.</t>
        </is>
      </c>
      <c r="J146" t="inlineStr" s="4">
        <is>
          <t>Request is denied/not found.</t>
        </is>
      </c>
      <c r="K146" s="4"/>
      <c r="L146" t="inlineStr" s="4">
        <is>
          <t>Not Run</t>
        </is>
      </c>
      <c r="M146" t="inlineStr" s="4">
        <is>
          <t>P0</t>
        </is>
      </c>
      <c r="N146" t="inlineStr" s="4">
        <is>
          <t>Critical</t>
        </is>
      </c>
      <c r="O146" t="inlineStr" s="4">
        <is>
          <t>Access Control</t>
        </is>
      </c>
      <c r="P146" t="inlineStr" s="4">
        <is>
          <t>Staging / QA</t>
        </is>
      </c>
      <c r="Q146" t="inlineStr" s="4">
        <is>
          <t>Chrome desktop + Android Chrome unless specified</t>
        </is>
      </c>
      <c r="R146" t="inlineStr" s="4">
        <is>
          <t>/mitra/wisata/*</t>
        </is>
      </c>
      <c r="S146" t="inlineStr" s="4">
        <is>
          <t>Maybe</t>
        </is>
      </c>
      <c r="T146" t="inlineStr" s="4">
        <is>
          <t>Yes</t>
        </is>
      </c>
      <c r="U146" t="inlineStr" s="4">
        <is>
          <t>Codex QA Generator</t>
        </is>
      </c>
      <c r="V146" s="4"/>
      <c r="W146" s="4"/>
      <c r="X146" s="4"/>
      <c r="Y146" s="4"/>
    </row>
    <row r="147" ht="54" customHeight="1">
      <c r="A147" t="inlineStr" s="4">
        <is>
          <t>TC-MITRA-011</t>
        </is>
      </c>
      <c r="B147" t="inlineStr" s="4">
        <is>
          <t>TS-MITRA-001</t>
        </is>
      </c>
      <c r="C147" t="inlineStr" s="4">
        <is>
          <t>Mitra Wisata</t>
        </is>
      </c>
      <c r="D147" t="inlineStr" s="4">
        <is>
          <t>Dashboard / Destination / Tickets / Booking / QR / Finance</t>
        </is>
      </c>
      <c r="E147" t="inlineStr" s="4">
        <is>
          <t>Mitra booking list scoped to owned destination</t>
        </is>
      </c>
      <c r="F147" t="inlineStr" s="4">
        <is>
          <t>Mitra</t>
        </is>
      </c>
      <c r="G147" t="inlineStr" s="4">
        <is>
          <t>Mitra account is verified for operational routes unless onboarding test.</t>
        </is>
      </c>
      <c r="H147" t="inlineStr" s="4">
        <is>
          <t>Bookings from multiple partners</t>
        </is>
      </c>
      <c r="I147" t="inlineStr" s="4">
        <is>
          <t>1. Login as mitra.
2. Open the relevant mitra wisata page.
3. Execute action using own and cross-owner data where applicable.
4. Verify ownership scope, validation, and UI result.</t>
        </is>
      </c>
      <c r="J147" t="inlineStr" s="4">
        <is>
          <t>Mitra sees only own destination bookings.</t>
        </is>
      </c>
      <c r="K147" s="4"/>
      <c r="L147" t="inlineStr" s="4">
        <is>
          <t>Not Run</t>
        </is>
      </c>
      <c r="M147" t="inlineStr" s="4">
        <is>
          <t>P0</t>
        </is>
      </c>
      <c r="N147" t="inlineStr" s="4">
        <is>
          <t>High</t>
        </is>
      </c>
      <c r="O147" t="inlineStr" s="4">
        <is>
          <t>Access Control</t>
        </is>
      </c>
      <c r="P147" t="inlineStr" s="4">
        <is>
          <t>Staging / QA</t>
        </is>
      </c>
      <c r="Q147" t="inlineStr" s="4">
        <is>
          <t>Chrome desktop + Android Chrome unless specified</t>
        </is>
      </c>
      <c r="R147" t="inlineStr" s="4">
        <is>
          <t>/mitra/wisata/*</t>
        </is>
      </c>
      <c r="S147" t="inlineStr" s="4">
        <is>
          <t>Maybe</t>
        </is>
      </c>
      <c r="T147" t="inlineStr" s="4">
        <is>
          <t>Yes</t>
        </is>
      </c>
      <c r="U147" t="inlineStr" s="4">
        <is>
          <t>Codex QA Generator</t>
        </is>
      </c>
      <c r="V147" s="4"/>
      <c r="W147" s="4"/>
      <c r="X147" s="4"/>
      <c r="Y147" s="4"/>
    </row>
    <row r="148" ht="54" customHeight="1">
      <c r="A148" t="inlineStr" s="4">
        <is>
          <t>TC-MITRA-012</t>
        </is>
      </c>
      <c r="B148" t="inlineStr" s="4">
        <is>
          <t>TS-MITRA-001</t>
        </is>
      </c>
      <c r="C148" t="inlineStr" s="4">
        <is>
          <t>Mitra Wisata</t>
        </is>
      </c>
      <c r="D148" t="inlineStr" s="4">
        <is>
          <t>Dashboard / Destination / Tickets / Booking / QR / Finance</t>
        </is>
      </c>
      <c r="E148" t="inlineStr" s="4">
        <is>
          <t>Mitra booking detail denies other partner booking</t>
        </is>
      </c>
      <c r="F148" t="inlineStr" s="4">
        <is>
          <t>Mitra</t>
        </is>
      </c>
      <c r="G148" t="inlineStr" s="4">
        <is>
          <t>Mitra account is verified for operational routes unless onboarding test.</t>
        </is>
      </c>
      <c r="H148" t="inlineStr" s="4">
        <is>
          <t>Booking from another destination</t>
        </is>
      </c>
      <c r="I148" t="inlineStr" s="4">
        <is>
          <t>1. Login as mitra.
2. Open the relevant mitra wisata page.
3. Execute action using own and cross-owner data where applicable.
4. Verify ownership scope, validation, and UI result.</t>
        </is>
      </c>
      <c r="J148" t="inlineStr" s="4">
        <is>
          <t>No data exposure.</t>
        </is>
      </c>
      <c r="K148" s="4"/>
      <c r="L148" t="inlineStr" s="4">
        <is>
          <t>Not Run</t>
        </is>
      </c>
      <c r="M148" t="inlineStr" s="4">
        <is>
          <t>P0</t>
        </is>
      </c>
      <c r="N148" t="inlineStr" s="4">
        <is>
          <t>Critical</t>
        </is>
      </c>
      <c r="O148" t="inlineStr" s="4">
        <is>
          <t>Access Control</t>
        </is>
      </c>
      <c r="P148" t="inlineStr" s="4">
        <is>
          <t>Staging / QA</t>
        </is>
      </c>
      <c r="Q148" t="inlineStr" s="4">
        <is>
          <t>Chrome desktop + Android Chrome unless specified</t>
        </is>
      </c>
      <c r="R148" t="inlineStr" s="4">
        <is>
          <t>/mitra/wisata/*</t>
        </is>
      </c>
      <c r="S148" t="inlineStr" s="4">
        <is>
          <t>Maybe</t>
        </is>
      </c>
      <c r="T148" t="inlineStr" s="4">
        <is>
          <t>Yes</t>
        </is>
      </c>
      <c r="U148" t="inlineStr" s="4">
        <is>
          <t>Codex QA Generator</t>
        </is>
      </c>
      <c r="V148" s="4"/>
      <c r="W148" s="4"/>
      <c r="X148" s="4"/>
      <c r="Y148" s="4"/>
    </row>
    <row r="149" ht="54" customHeight="1">
      <c r="A149" t="inlineStr" s="4">
        <is>
          <t>TC-MITRA-013</t>
        </is>
      </c>
      <c r="B149" t="inlineStr" s="4">
        <is>
          <t>TS-MITRA-001</t>
        </is>
      </c>
      <c r="C149" t="inlineStr" s="4">
        <is>
          <t>Mitra Wisata</t>
        </is>
      </c>
      <c r="D149" t="inlineStr" s="4">
        <is>
          <t>Dashboard / Destination / Tickets / Booking / QR / Finance</t>
        </is>
      </c>
      <c r="E149" t="inlineStr" s="4">
        <is>
          <t>Mitra QR tab displays poster and download buttons</t>
        </is>
      </c>
      <c r="F149" t="inlineStr" s="4">
        <is>
          <t>Mitra</t>
        </is>
      </c>
      <c r="G149" t="inlineStr" s="4">
        <is>
          <t>Mitra account is verified for operational routes unless onboarding test.</t>
        </is>
      </c>
      <c r="H149" t="inlineStr" s="4">
        <is>
          <t>Verified mitra destination</t>
        </is>
      </c>
      <c r="I149" t="inlineStr" s="4">
        <is>
          <t>1. Login as mitra.
2. Open the relevant mitra wisata page.
3. Execute action using own and cross-owner data where applicable.
4. Verify ownership scope, validation, and UI result.</t>
        </is>
      </c>
      <c r="J149" t="inlineStr" s="4">
        <is>
          <t>QR poster preview, PDF/download/print are usable.</t>
        </is>
      </c>
      <c r="K149" s="4"/>
      <c r="L149" t="inlineStr" s="4">
        <is>
          <t>Not Run</t>
        </is>
      </c>
      <c r="M149" t="inlineStr" s="4">
        <is>
          <t>P1</t>
        </is>
      </c>
      <c r="N149" t="inlineStr" s="4">
        <is>
          <t>High</t>
        </is>
      </c>
      <c r="O149" t="inlineStr" s="4">
        <is>
          <t>Access Control</t>
        </is>
      </c>
      <c r="P149" t="inlineStr" s="4">
        <is>
          <t>Staging / QA</t>
        </is>
      </c>
      <c r="Q149" t="inlineStr" s="4">
        <is>
          <t>Chrome desktop + Android Chrome unless specified</t>
        </is>
      </c>
      <c r="R149" t="inlineStr" s="4">
        <is>
          <t>/mitra/wisata/*</t>
        </is>
      </c>
      <c r="S149" t="inlineStr" s="4">
        <is>
          <t>Maybe</t>
        </is>
      </c>
      <c r="T149" t="inlineStr" s="4">
        <is>
          <t>Yes</t>
        </is>
      </c>
      <c r="U149" t="inlineStr" s="4">
        <is>
          <t>Codex QA Generator</t>
        </is>
      </c>
      <c r="V149" s="4"/>
      <c r="W149" s="4"/>
      <c r="X149" s="4"/>
      <c r="Y149" s="4"/>
    </row>
    <row r="150" ht="54" customHeight="1">
      <c r="A150" t="inlineStr" s="4">
        <is>
          <t>TC-MITRA-014</t>
        </is>
      </c>
      <c r="B150" t="inlineStr" s="4">
        <is>
          <t>TS-MITRA-001</t>
        </is>
      </c>
      <c r="C150" t="inlineStr" s="4">
        <is>
          <t>Mitra Wisata</t>
        </is>
      </c>
      <c r="D150" t="inlineStr" s="4">
        <is>
          <t>Dashboard / Destination / Tickets / Booking / QR / Finance</t>
        </is>
      </c>
      <c r="E150" t="inlineStr" s="4">
        <is>
          <t>Mitra scan history tab search works</t>
        </is>
      </c>
      <c r="F150" t="inlineStr" s="4">
        <is>
          <t>Mitra</t>
        </is>
      </c>
      <c r="G150" t="inlineStr" s="4">
        <is>
          <t>Mitra account is verified for operational routes unless onboarding test.</t>
        </is>
      </c>
      <c r="H150" t="inlineStr" s="4">
        <is>
          <t>Search keyword</t>
        </is>
      </c>
      <c r="I150" t="inlineStr" s="4">
        <is>
          <t>1. Login as mitra.
2. Open the relevant mitra wisata page.
3. Execute action using own and cross-owner data where applicable.
4. Verify ownership scope, validation, and UI result.</t>
        </is>
      </c>
      <c r="J150" t="inlineStr" s="4">
        <is>
          <t>Table filters by keyword and date, no pagination selector where removed.</t>
        </is>
      </c>
      <c r="K150" s="4"/>
      <c r="L150" t="inlineStr" s="4">
        <is>
          <t>Not Run</t>
        </is>
      </c>
      <c r="M150" t="inlineStr" s="4">
        <is>
          <t>P1</t>
        </is>
      </c>
      <c r="N150" t="inlineStr" s="4">
        <is>
          <t>High</t>
        </is>
      </c>
      <c r="O150" t="inlineStr" s="4">
        <is>
          <t>Access Control</t>
        </is>
      </c>
      <c r="P150" t="inlineStr" s="4">
        <is>
          <t>Staging / QA</t>
        </is>
      </c>
      <c r="Q150" t="inlineStr" s="4">
        <is>
          <t>Chrome desktop + Android Chrome unless specified</t>
        </is>
      </c>
      <c r="R150" t="inlineStr" s="4">
        <is>
          <t>/mitra/wisata/*</t>
        </is>
      </c>
      <c r="S150" t="inlineStr" s="4">
        <is>
          <t>Maybe</t>
        </is>
      </c>
      <c r="T150" t="inlineStr" s="4">
        <is>
          <t>Yes</t>
        </is>
      </c>
      <c r="U150" t="inlineStr" s="4">
        <is>
          <t>Codex QA Generator</t>
        </is>
      </c>
      <c r="V150" s="4"/>
      <c r="W150" s="4"/>
      <c r="X150" s="4"/>
      <c r="Y150" s="4"/>
    </row>
    <row r="151" ht="54" customHeight="1">
      <c r="A151" t="inlineStr" s="4">
        <is>
          <t>TC-MITRA-015</t>
        </is>
      </c>
      <c r="B151" t="inlineStr" s="4">
        <is>
          <t>TS-MITRA-001</t>
        </is>
      </c>
      <c r="C151" t="inlineStr" s="4">
        <is>
          <t>Mitra Wisata</t>
        </is>
      </c>
      <c r="D151" t="inlineStr" s="4">
        <is>
          <t>Dashboard / Destination / Tickets / Booking / QR / Finance</t>
        </is>
      </c>
      <c r="E151" t="inlineStr" s="4">
        <is>
          <t>Mitra creates dispute for owned booking</t>
        </is>
      </c>
      <c r="F151" t="inlineStr" s="4">
        <is>
          <t>Mitra</t>
        </is>
      </c>
      <c r="G151" t="inlineStr" s="4">
        <is>
          <t>Mitra account is verified for operational routes unless onboarding test.</t>
        </is>
      </c>
      <c r="H151" t="inlineStr" s="4">
        <is>
          <t>Owned booking and valid subject/description</t>
        </is>
      </c>
      <c r="I151" t="inlineStr" s="4">
        <is>
          <t>1. Login as mitra.
2. Open the relevant mitra wisata page.
3. Execute action using own and cross-owner data where applicable.
4. Verify ownership scope, validation, and UI result.</t>
        </is>
      </c>
      <c r="J151" t="inlineStr" s="4">
        <is>
          <t>Dispute is stored with optional attachment validation.</t>
        </is>
      </c>
      <c r="K151" s="4"/>
      <c r="L151" t="inlineStr" s="4">
        <is>
          <t>Not Run</t>
        </is>
      </c>
      <c r="M151" t="inlineStr" s="4">
        <is>
          <t>P1</t>
        </is>
      </c>
      <c r="N151" t="inlineStr" s="4">
        <is>
          <t>High</t>
        </is>
      </c>
      <c r="O151" t="inlineStr" s="4">
        <is>
          <t>Access Control</t>
        </is>
      </c>
      <c r="P151" t="inlineStr" s="4">
        <is>
          <t>Staging / QA</t>
        </is>
      </c>
      <c r="Q151" t="inlineStr" s="4">
        <is>
          <t>Chrome desktop + Android Chrome unless specified</t>
        </is>
      </c>
      <c r="R151" t="inlineStr" s="4">
        <is>
          <t>/mitra/wisata/*</t>
        </is>
      </c>
      <c r="S151" t="inlineStr" s="4">
        <is>
          <t>Maybe</t>
        </is>
      </c>
      <c r="T151" t="inlineStr" s="4">
        <is>
          <t>Yes</t>
        </is>
      </c>
      <c r="U151" t="inlineStr" s="4">
        <is>
          <t>Codex QA Generator</t>
        </is>
      </c>
      <c r="V151" s="4"/>
      <c r="W151" s="4"/>
      <c r="X151" s="4"/>
      <c r="Y151" s="4"/>
    </row>
    <row r="152" ht="54" customHeight="1">
      <c r="A152" t="inlineStr" s="4">
        <is>
          <t>TC-MITRA-016</t>
        </is>
      </c>
      <c r="B152" t="inlineStr" s="4">
        <is>
          <t>TS-MITRA-001</t>
        </is>
      </c>
      <c r="C152" t="inlineStr" s="4">
        <is>
          <t>Mitra Wisata</t>
        </is>
      </c>
      <c r="D152" t="inlineStr" s="4">
        <is>
          <t>Dashboard / Destination / Tickets / Booking / QR / Finance</t>
        </is>
      </c>
      <c r="E152" t="inlineStr" s="4">
        <is>
          <t>Mitra cannot create dispute for other booking</t>
        </is>
      </c>
      <c r="F152" t="inlineStr" s="4">
        <is>
          <t>Mitra</t>
        </is>
      </c>
      <c r="G152" t="inlineStr" s="4">
        <is>
          <t>Mitra account is verified for operational routes unless onboarding test.</t>
        </is>
      </c>
      <c r="H152" t="inlineStr" s="4">
        <is>
          <t>Other partner booking id</t>
        </is>
      </c>
      <c r="I152" t="inlineStr" s="4">
        <is>
          <t>1. Login as mitra.
2. Open the relevant mitra wisata page.
3. Execute action using own and cross-owner data where applicable.
4. Verify ownership scope, validation, and UI result.</t>
        </is>
      </c>
      <c r="J152" t="inlineStr" s="4">
        <is>
          <t>Request is denied.</t>
        </is>
      </c>
      <c r="K152" s="4"/>
      <c r="L152" t="inlineStr" s="4">
        <is>
          <t>Not Run</t>
        </is>
      </c>
      <c r="M152" t="inlineStr" s="4">
        <is>
          <t>P1</t>
        </is>
      </c>
      <c r="N152" t="inlineStr" s="4">
        <is>
          <t>High</t>
        </is>
      </c>
      <c r="O152" t="inlineStr" s="4">
        <is>
          <t>Access Control</t>
        </is>
      </c>
      <c r="P152" t="inlineStr" s="4">
        <is>
          <t>Staging / QA</t>
        </is>
      </c>
      <c r="Q152" t="inlineStr" s="4">
        <is>
          <t>Chrome desktop + Android Chrome unless specified</t>
        </is>
      </c>
      <c r="R152" t="inlineStr" s="4">
        <is>
          <t>/mitra/wisata/*</t>
        </is>
      </c>
      <c r="S152" t="inlineStr" s="4">
        <is>
          <t>Maybe</t>
        </is>
      </c>
      <c r="T152" t="inlineStr" s="4">
        <is>
          <t>Yes</t>
        </is>
      </c>
      <c r="U152" t="inlineStr" s="4">
        <is>
          <t>Codex QA Generator</t>
        </is>
      </c>
      <c r="V152" s="4"/>
      <c r="W152" s="4"/>
      <c r="X152" s="4"/>
      <c r="Y152" s="4"/>
    </row>
    <row r="153" ht="54" customHeight="1">
      <c r="A153" t="inlineStr" s="4">
        <is>
          <t>TC-MITRA-017</t>
        </is>
      </c>
      <c r="B153" t="inlineStr" s="4">
        <is>
          <t>TS-MITRA-001</t>
        </is>
      </c>
      <c r="C153" t="inlineStr" s="4">
        <is>
          <t>Mitra Wisata</t>
        </is>
      </c>
      <c r="D153" t="inlineStr" s="4">
        <is>
          <t>Dashboard / Destination / Tickets / Booking / QR / Finance</t>
        </is>
      </c>
      <c r="E153" t="inlineStr" s="4">
        <is>
          <t>Mitra staff creation validates email/role</t>
        </is>
      </c>
      <c r="F153" t="inlineStr" s="4">
        <is>
          <t>Mitra</t>
        </is>
      </c>
      <c r="G153" t="inlineStr" s="4">
        <is>
          <t>Mitra account is verified for operational routes unless onboarding test.</t>
        </is>
      </c>
      <c r="H153" t="inlineStr" s="4">
        <is>
          <t>Valid and invalid staff fields</t>
        </is>
      </c>
      <c r="I153" t="inlineStr" s="4">
        <is>
          <t>1. Login as mitra.
2. Open the relevant mitra wisata page.
3. Execute action using own and cross-owner data where applicable.
4. Verify ownership scope, validation, and UI result.</t>
        </is>
      </c>
      <c r="J153" t="inlineStr" s="4">
        <is>
          <t>Valid staff account is created; invalid role/email rejected.</t>
        </is>
      </c>
      <c r="K153" s="4"/>
      <c r="L153" t="inlineStr" s="4">
        <is>
          <t>Not Run</t>
        </is>
      </c>
      <c r="M153" t="inlineStr" s="4">
        <is>
          <t>P1</t>
        </is>
      </c>
      <c r="N153" t="inlineStr" s="4">
        <is>
          <t>High</t>
        </is>
      </c>
      <c r="O153" t="inlineStr" s="4">
        <is>
          <t>Access Control</t>
        </is>
      </c>
      <c r="P153" t="inlineStr" s="4">
        <is>
          <t>Staging / QA</t>
        </is>
      </c>
      <c r="Q153" t="inlineStr" s="4">
        <is>
          <t>Chrome desktop + Android Chrome unless specified</t>
        </is>
      </c>
      <c r="R153" t="inlineStr" s="4">
        <is>
          <t>/mitra/wisata/*</t>
        </is>
      </c>
      <c r="S153" t="inlineStr" s="4">
        <is>
          <t>Maybe</t>
        </is>
      </c>
      <c r="T153" t="inlineStr" s="4">
        <is>
          <t>Yes</t>
        </is>
      </c>
      <c r="U153" t="inlineStr" s="4">
        <is>
          <t>Codex QA Generator</t>
        </is>
      </c>
      <c r="V153" s="4"/>
      <c r="W153" s="4"/>
      <c r="X153" s="4"/>
      <c r="Y153" s="4"/>
    </row>
    <row r="154" ht="54" customHeight="1">
      <c r="A154" t="inlineStr" s="4">
        <is>
          <t>TC-MITRA-018</t>
        </is>
      </c>
      <c r="B154" t="inlineStr" s="4">
        <is>
          <t>TS-MITRA-001</t>
        </is>
      </c>
      <c r="C154" t="inlineStr" s="4">
        <is>
          <t>Mitra Wisata</t>
        </is>
      </c>
      <c r="D154" t="inlineStr" s="4">
        <is>
          <t>Dashboard / Destination / Tickets / Booking / QR / Finance</t>
        </is>
      </c>
      <c r="E154" t="inlineStr" s="4">
        <is>
          <t>Mitra finance summary shows owned payout data</t>
        </is>
      </c>
      <c r="F154" t="inlineStr" s="4">
        <is>
          <t>Mitra</t>
        </is>
      </c>
      <c r="G154" t="inlineStr" s="4">
        <is>
          <t>Mitra account is verified for operational routes unless onboarding test.</t>
        </is>
      </c>
      <c r="H154" t="inlineStr" s="4">
        <is>
          <t>Paid bookings for partner</t>
        </is>
      </c>
      <c r="I154" t="inlineStr" s="4">
        <is>
          <t>1. Login as mitra.
2. Open the relevant mitra wisata page.
3. Execute action using own and cross-owner data where applicable.
4. Verify ownership scope, validation, and UI result.</t>
        </is>
      </c>
      <c r="J154" t="inlineStr" s="4">
        <is>
          <t>Summary excludes other partner data.</t>
        </is>
      </c>
      <c r="K154" s="4"/>
      <c r="L154" t="inlineStr" s="4">
        <is>
          <t>Not Run</t>
        </is>
      </c>
      <c r="M154" t="inlineStr" s="4">
        <is>
          <t>P1</t>
        </is>
      </c>
      <c r="N154" t="inlineStr" s="4">
        <is>
          <t>High</t>
        </is>
      </c>
      <c r="O154" t="inlineStr" s="4">
        <is>
          <t>Access Control</t>
        </is>
      </c>
      <c r="P154" t="inlineStr" s="4">
        <is>
          <t>Staging / QA</t>
        </is>
      </c>
      <c r="Q154" t="inlineStr" s="4">
        <is>
          <t>Chrome desktop + Android Chrome unless specified</t>
        </is>
      </c>
      <c r="R154" t="inlineStr" s="4">
        <is>
          <t>/mitra/wisata/*</t>
        </is>
      </c>
      <c r="S154" t="inlineStr" s="4">
        <is>
          <t>Maybe</t>
        </is>
      </c>
      <c r="T154" t="inlineStr" s="4">
        <is>
          <t>Yes</t>
        </is>
      </c>
      <c r="U154" t="inlineStr" s="4">
        <is>
          <t>Codex QA Generator</t>
        </is>
      </c>
      <c r="V154" s="4"/>
      <c r="W154" s="4"/>
      <c r="X154" s="4"/>
      <c r="Y154" s="4"/>
    </row>
    <row r="155" ht="54" customHeight="1">
      <c r="A155" t="inlineStr" s="4">
        <is>
          <t>TC-MITRA-019</t>
        </is>
      </c>
      <c r="B155" t="inlineStr" s="4">
        <is>
          <t>TS-MITRA-001</t>
        </is>
      </c>
      <c r="C155" t="inlineStr" s="4">
        <is>
          <t>Mitra Wisata</t>
        </is>
      </c>
      <c r="D155" t="inlineStr" s="4">
        <is>
          <t>Dashboard / Destination / Tickets / Booking / QR / Finance</t>
        </is>
      </c>
      <c r="E155" t="inlineStr" s="4">
        <is>
          <t>Mitra review reply validates ownership</t>
        </is>
      </c>
      <c r="F155" t="inlineStr" s="4">
        <is>
          <t>Mitra</t>
        </is>
      </c>
      <c r="G155" t="inlineStr" s="4">
        <is>
          <t>Mitra account is verified for operational routes unless onboarding test.</t>
        </is>
      </c>
      <c r="H155" t="inlineStr" s="4">
        <is>
          <t>Owned review and other destination review</t>
        </is>
      </c>
      <c r="I155" t="inlineStr" s="4">
        <is>
          <t>1. Login as mitra.
2. Open the relevant mitra wisata page.
3. Execute action using own and cross-owner data where applicable.
4. Verify ownership scope, validation, and UI result.</t>
        </is>
      </c>
      <c r="J155" t="inlineStr" s="4">
        <is>
          <t>Own reply accepted; other review denied.</t>
        </is>
      </c>
      <c r="K155" s="4"/>
      <c r="L155" t="inlineStr" s="4">
        <is>
          <t>Not Run</t>
        </is>
      </c>
      <c r="M155" t="inlineStr" s="4">
        <is>
          <t>P1</t>
        </is>
      </c>
      <c r="N155" t="inlineStr" s="4">
        <is>
          <t>High</t>
        </is>
      </c>
      <c r="O155" t="inlineStr" s="4">
        <is>
          <t>Access Control</t>
        </is>
      </c>
      <c r="P155" t="inlineStr" s="4">
        <is>
          <t>Staging / QA</t>
        </is>
      </c>
      <c r="Q155" t="inlineStr" s="4">
        <is>
          <t>Chrome desktop + Android Chrome unless specified</t>
        </is>
      </c>
      <c r="R155" t="inlineStr" s="4">
        <is>
          <t>/mitra/wisata/*</t>
        </is>
      </c>
      <c r="S155" t="inlineStr" s="4">
        <is>
          <t>Maybe</t>
        </is>
      </c>
      <c r="T155" t="inlineStr" s="4">
        <is>
          <t>Yes</t>
        </is>
      </c>
      <c r="U155" t="inlineStr" s="4">
        <is>
          <t>Codex QA Generator</t>
        </is>
      </c>
      <c r="V155" s="4"/>
      <c r="W155" s="4"/>
      <c r="X155" s="4"/>
      <c r="Y155" s="4"/>
    </row>
    <row r="156" ht="54" customHeight="1">
      <c r="A156" t="inlineStr" s="4">
        <is>
          <t>TC-MITRA-020</t>
        </is>
      </c>
      <c r="B156" t="inlineStr" s="4">
        <is>
          <t>TS-MITRA-001</t>
        </is>
      </c>
      <c r="C156" t="inlineStr" s="4">
        <is>
          <t>Mitra Wisata</t>
        </is>
      </c>
      <c r="D156" t="inlineStr" s="4">
        <is>
          <t>Dashboard / Destination / Tickets / Booking / QR / Finance</t>
        </is>
      </c>
      <c r="E156" t="inlineStr" s="4">
        <is>
          <t>Mitra profile/bank account update validates required account data</t>
        </is>
      </c>
      <c r="F156" t="inlineStr" s="4">
        <is>
          <t>Mitra</t>
        </is>
      </c>
      <c r="G156" t="inlineStr" s="4">
        <is>
          <t>Mitra account is verified for operational routes unless onboarding test.</t>
        </is>
      </c>
      <c r="H156" t="inlineStr" s="4">
        <is>
          <t>Bank name/account/name</t>
        </is>
      </c>
      <c r="I156" t="inlineStr" s="4">
        <is>
          <t>1. Login as mitra.
2. Open the relevant mitra wisata page.
3. Execute action using own and cross-owner data where applicable.
4. Verify ownership scope, validation, and UI result.</t>
        </is>
      </c>
      <c r="J156" t="inlineStr" s="4">
        <is>
          <t>Payout data persists and invalid bank data is rejected.</t>
        </is>
      </c>
      <c r="K156" s="4"/>
      <c r="L156" t="inlineStr" s="4">
        <is>
          <t>Not Run</t>
        </is>
      </c>
      <c r="M156" t="inlineStr" s="4">
        <is>
          <t>P1</t>
        </is>
      </c>
      <c r="N156" t="inlineStr" s="4">
        <is>
          <t>High</t>
        </is>
      </c>
      <c r="O156" t="inlineStr" s="4">
        <is>
          <t>Access Control</t>
        </is>
      </c>
      <c r="P156" t="inlineStr" s="4">
        <is>
          <t>Staging / QA</t>
        </is>
      </c>
      <c r="Q156" t="inlineStr" s="4">
        <is>
          <t>Chrome desktop + Android Chrome unless specified</t>
        </is>
      </c>
      <c r="R156" t="inlineStr" s="4">
        <is>
          <t>/mitra/wisata/*</t>
        </is>
      </c>
      <c r="S156" t="inlineStr" s="4">
        <is>
          <t>Maybe</t>
        </is>
      </c>
      <c r="T156" t="inlineStr" s="4">
        <is>
          <t>Yes</t>
        </is>
      </c>
      <c r="U156" t="inlineStr" s="4">
        <is>
          <t>Codex QA Generator</t>
        </is>
      </c>
      <c r="V156" s="4"/>
      <c r="W156" s="4"/>
      <c r="X156" s="4"/>
      <c r="Y156" s="4"/>
    </row>
    <row r="157" ht="54" customHeight="1">
      <c r="A157" t="inlineStr" s="4">
        <is>
          <t>TC-API-001</t>
        </is>
      </c>
      <c r="B157" t="inlineStr" s="4">
        <is>
          <t>TS-API-001</t>
        </is>
      </c>
      <c r="C157" t="inlineStr" s="4">
        <is>
          <t>Mobile API</t>
        </is>
      </c>
      <c r="D157" t="inlineStr" s="4">
        <is>
          <t>Auth / Discovery / Booking / Scan / Profile</t>
        </is>
      </c>
      <c r="E157" t="inlineStr" s="4">
        <is>
          <t>Mobile register requires phone and legal acceptance</t>
        </is>
      </c>
      <c r="F157" t="inlineStr" s="4">
        <is>
          <t>Mobile User</t>
        </is>
      </c>
      <c r="G157" t="inlineStr" s="4">
        <is>
          <t>Use QA API client with Sanctum token where required.</t>
        </is>
      </c>
      <c r="H157" t="inlineStr" s="4">
        <is>
          <t>POST /api/auth/register</t>
        </is>
      </c>
      <c r="I157" t="inlineStr" s="4">
        <is>
          <t>1. Send API request with specified headers/payload.
2. Inspect status code and JSON body.
3. For state-changing requests, verify resulting resource state and ownership boundaries.</t>
        </is>
      </c>
      <c r="J157" t="inlineStr" s="4">
        <is>
          <t>201/validation response follows API contract and phone is required.</t>
        </is>
      </c>
      <c r="K157" s="4"/>
      <c r="L157" t="inlineStr" s="4">
        <is>
          <t>Not Run</t>
        </is>
      </c>
      <c r="M157" t="inlineStr" s="4">
        <is>
          <t>P1</t>
        </is>
      </c>
      <c r="N157" t="inlineStr" s="4">
        <is>
          <t>High</t>
        </is>
      </c>
      <c r="O157" t="inlineStr" s="4">
        <is>
          <t>Integration</t>
        </is>
      </c>
      <c r="P157" t="inlineStr" s="4">
        <is>
          <t>Staging / QA</t>
        </is>
      </c>
      <c r="Q157" t="inlineStr" s="4">
        <is>
          <t>Chrome desktop + Android Chrome unless specified</t>
        </is>
      </c>
      <c r="R157" t="inlineStr" s="4">
        <is>
          <t>/api/*</t>
        </is>
      </c>
      <c r="S157" t="inlineStr" s="4">
        <is>
          <t>Yes</t>
        </is>
      </c>
      <c r="T157" t="inlineStr" s="4">
        <is>
          <t>Yes</t>
        </is>
      </c>
      <c r="U157" t="inlineStr" s="4">
        <is>
          <t>Codex QA Generator</t>
        </is>
      </c>
      <c r="V157" s="4"/>
      <c r="W157" s="4"/>
      <c r="X157" s="4"/>
      <c r="Y157" s="4"/>
    </row>
    <row r="158" ht="54" customHeight="1">
      <c r="A158" t="inlineStr" s="4">
        <is>
          <t>TC-API-002</t>
        </is>
      </c>
      <c r="B158" t="inlineStr" s="4">
        <is>
          <t>TS-API-001</t>
        </is>
      </c>
      <c r="C158" t="inlineStr" s="4">
        <is>
          <t>Mobile API</t>
        </is>
      </c>
      <c r="D158" t="inlineStr" s="4">
        <is>
          <t>Auth / Discovery / Booking / Scan / Profile</t>
        </is>
      </c>
      <c r="E158" t="inlineStr" s="4">
        <is>
          <t>Mobile login returns token for valid credentials</t>
        </is>
      </c>
      <c r="F158" t="inlineStr" s="4">
        <is>
          <t>Mobile User</t>
        </is>
      </c>
      <c r="G158" t="inlineStr" s="4">
        <is>
          <t>Use QA API client with Sanctum token where required.</t>
        </is>
      </c>
      <c r="H158" t="inlineStr" s="4">
        <is>
          <t>POST /api/auth/login</t>
        </is>
      </c>
      <c r="I158" t="inlineStr" s="4">
        <is>
          <t>1. Send API request with specified headers/payload.
2. Inspect status code and JSON body.
3. For state-changing requests, verify resulting resource state and ownership boundaries.</t>
        </is>
      </c>
      <c r="J158" t="inlineStr" s="4">
        <is>
          <t>Token/user payload returned; no password or secrets exposed.</t>
        </is>
      </c>
      <c r="K158" s="4"/>
      <c r="L158" t="inlineStr" s="4">
        <is>
          <t>Not Run</t>
        </is>
      </c>
      <c r="M158" t="inlineStr" s="4">
        <is>
          <t>P0</t>
        </is>
      </c>
      <c r="N158" t="inlineStr" s="4">
        <is>
          <t>High</t>
        </is>
      </c>
      <c r="O158" t="inlineStr" s="4">
        <is>
          <t>Integration</t>
        </is>
      </c>
      <c r="P158" t="inlineStr" s="4">
        <is>
          <t>Staging / QA</t>
        </is>
      </c>
      <c r="Q158" t="inlineStr" s="4">
        <is>
          <t>Chrome desktop + Android Chrome unless specified</t>
        </is>
      </c>
      <c r="R158" t="inlineStr" s="4">
        <is>
          <t>/api/*</t>
        </is>
      </c>
      <c r="S158" t="inlineStr" s="4">
        <is>
          <t>Yes</t>
        </is>
      </c>
      <c r="T158" t="inlineStr" s="4">
        <is>
          <t>Yes</t>
        </is>
      </c>
      <c r="U158" t="inlineStr" s="4">
        <is>
          <t>Codex QA Generator</t>
        </is>
      </c>
      <c r="V158" s="4"/>
      <c r="W158" s="4"/>
      <c r="X158" s="4"/>
      <c r="Y158" s="4"/>
    </row>
    <row r="159" ht="54" customHeight="1">
      <c r="A159" t="inlineStr" s="4">
        <is>
          <t>TC-API-003</t>
        </is>
      </c>
      <c r="B159" t="inlineStr" s="4">
        <is>
          <t>TS-API-001</t>
        </is>
      </c>
      <c r="C159" t="inlineStr" s="4">
        <is>
          <t>Mobile API</t>
        </is>
      </c>
      <c r="D159" t="inlineStr" s="4">
        <is>
          <t>Auth / Discovery / Booking / Scan / Profile</t>
        </is>
      </c>
      <c r="E159" t="inlineStr" s="4">
        <is>
          <t>Mobile login throttles repeated failures</t>
        </is>
      </c>
      <c r="F159" t="inlineStr" s="4">
        <is>
          <t>Mobile User</t>
        </is>
      </c>
      <c r="G159" t="inlineStr" s="4">
        <is>
          <t>Use QA API client with Sanctum token where required.</t>
        </is>
      </c>
      <c r="H159" t="inlineStr" s="4">
        <is>
          <t>Repeated POST /api/auth/login</t>
        </is>
      </c>
      <c r="I159" t="inlineStr" s="4">
        <is>
          <t>1. Send API request with specified headers/payload.
2. Inspect status code and JSON body.
3. For state-changing requests, verify resulting resource state and ownership boundaries.</t>
        </is>
      </c>
      <c r="J159" t="inlineStr" s="4">
        <is>
          <t>Throttle protection returns safe error.</t>
        </is>
      </c>
      <c r="K159" s="4"/>
      <c r="L159" t="inlineStr" s="4">
        <is>
          <t>Not Run</t>
        </is>
      </c>
      <c r="M159" t="inlineStr" s="4">
        <is>
          <t>P1</t>
        </is>
      </c>
      <c r="N159" t="inlineStr" s="4">
        <is>
          <t>High</t>
        </is>
      </c>
      <c r="O159" t="inlineStr" s="4">
        <is>
          <t>Integration</t>
        </is>
      </c>
      <c r="P159" t="inlineStr" s="4">
        <is>
          <t>Staging / QA</t>
        </is>
      </c>
      <c r="Q159" t="inlineStr" s="4">
        <is>
          <t>Chrome desktop + Android Chrome unless specified</t>
        </is>
      </c>
      <c r="R159" t="inlineStr" s="4">
        <is>
          <t>/api/*</t>
        </is>
      </c>
      <c r="S159" t="inlineStr" s="4">
        <is>
          <t>Yes</t>
        </is>
      </c>
      <c r="T159" t="inlineStr" s="4">
        <is>
          <t>Yes</t>
        </is>
      </c>
      <c r="U159" t="inlineStr" s="4">
        <is>
          <t>Codex QA Generator</t>
        </is>
      </c>
      <c r="V159" s="4"/>
      <c r="W159" s="4"/>
      <c r="X159" s="4"/>
      <c r="Y159" s="4"/>
    </row>
    <row r="160" ht="54" customHeight="1">
      <c r="A160" t="inlineStr" s="4">
        <is>
          <t>TC-API-004</t>
        </is>
      </c>
      <c r="B160" t="inlineStr" s="4">
        <is>
          <t>TS-API-001</t>
        </is>
      </c>
      <c r="C160" t="inlineStr" s="4">
        <is>
          <t>Mobile API</t>
        </is>
      </c>
      <c r="D160" t="inlineStr" s="4">
        <is>
          <t>Auth / Discovery / Booking / Scan / Profile</t>
        </is>
      </c>
      <c r="E160" t="inlineStr" s="4">
        <is>
          <t>Auth me requires Sanctum token</t>
        </is>
      </c>
      <c r="F160" t="inlineStr" s="4">
        <is>
          <t>Mobile User</t>
        </is>
      </c>
      <c r="G160" t="inlineStr" s="4">
        <is>
          <t>Use QA API client with Sanctum token where required.</t>
        </is>
      </c>
      <c r="H160" t="inlineStr" s="4">
        <is>
          <t>GET /api/auth/me without token</t>
        </is>
      </c>
      <c r="I160" t="inlineStr" s="4">
        <is>
          <t>1. Send API request with specified headers/payload.
2. Inspect status code and JSON body.
3. For state-changing requests, verify resulting resource state and ownership boundaries.</t>
        </is>
      </c>
      <c r="J160" t="inlineStr" s="4">
        <is>
          <t>401 unauthenticated.</t>
        </is>
      </c>
      <c r="K160" s="4"/>
      <c r="L160" t="inlineStr" s="4">
        <is>
          <t>Not Run</t>
        </is>
      </c>
      <c r="M160" t="inlineStr" s="4">
        <is>
          <t>P1</t>
        </is>
      </c>
      <c r="N160" t="inlineStr" s="4">
        <is>
          <t>High</t>
        </is>
      </c>
      <c r="O160" t="inlineStr" s="4">
        <is>
          <t>Integration</t>
        </is>
      </c>
      <c r="P160" t="inlineStr" s="4">
        <is>
          <t>Staging / QA</t>
        </is>
      </c>
      <c r="Q160" t="inlineStr" s="4">
        <is>
          <t>Chrome desktop + Android Chrome unless specified</t>
        </is>
      </c>
      <c r="R160" t="inlineStr" s="4">
        <is>
          <t>/api/*</t>
        </is>
      </c>
      <c r="S160" t="inlineStr" s="4">
        <is>
          <t>Yes</t>
        </is>
      </c>
      <c r="T160" t="inlineStr" s="4">
        <is>
          <t>Yes</t>
        </is>
      </c>
      <c r="U160" t="inlineStr" s="4">
        <is>
          <t>Codex QA Generator</t>
        </is>
      </c>
      <c r="V160" s="4"/>
      <c r="W160" s="4"/>
      <c r="X160" s="4"/>
      <c r="Y160" s="4"/>
    </row>
    <row r="161" ht="54" customHeight="1">
      <c r="A161" t="inlineStr" s="4">
        <is>
          <t>TC-API-005</t>
        </is>
      </c>
      <c r="B161" t="inlineStr" s="4">
        <is>
          <t>TS-API-001</t>
        </is>
      </c>
      <c r="C161" t="inlineStr" s="4">
        <is>
          <t>Mobile API</t>
        </is>
      </c>
      <c r="D161" t="inlineStr" s="4">
        <is>
          <t>Auth / Discovery / Booking / Scan / Profile</t>
        </is>
      </c>
      <c r="E161" t="inlineStr" s="4">
        <is>
          <t>Mobile passkey registration options require auth</t>
        </is>
      </c>
      <c r="F161" t="inlineStr" s="4">
        <is>
          <t>Mobile User</t>
        </is>
      </c>
      <c r="G161" t="inlineStr" s="4">
        <is>
          <t>Use QA API client with Sanctum token where required.</t>
        </is>
      </c>
      <c r="H161" t="inlineStr" s="4">
        <is>
          <t>POST /api/auth/passkeys/register/options</t>
        </is>
      </c>
      <c r="I161" t="inlineStr" s="4">
        <is>
          <t>1. Send API request with specified headers/payload.
2. Inspect status code and JSON body.
3. For state-changing requests, verify resulting resource state and ownership boundaries.</t>
        </is>
      </c>
      <c r="J161" t="inlineStr" s="4">
        <is>
          <t>Authenticated user receives options; guest is rejected.</t>
        </is>
      </c>
      <c r="K161" s="4"/>
      <c r="L161" t="inlineStr" s="4">
        <is>
          <t>Not Run</t>
        </is>
      </c>
      <c r="M161" t="inlineStr" s="4">
        <is>
          <t>P1</t>
        </is>
      </c>
      <c r="N161" t="inlineStr" s="4">
        <is>
          <t>High</t>
        </is>
      </c>
      <c r="O161" t="inlineStr" s="4">
        <is>
          <t>Integration</t>
        </is>
      </c>
      <c r="P161" t="inlineStr" s="4">
        <is>
          <t>Staging / QA</t>
        </is>
      </c>
      <c r="Q161" t="inlineStr" s="4">
        <is>
          <t>Chrome desktop + Android Chrome unless specified</t>
        </is>
      </c>
      <c r="R161" t="inlineStr" s="4">
        <is>
          <t>/api/*</t>
        </is>
      </c>
      <c r="S161" t="inlineStr" s="4">
        <is>
          <t>Yes</t>
        </is>
      </c>
      <c r="T161" t="inlineStr" s="4">
        <is>
          <t>Yes</t>
        </is>
      </c>
      <c r="U161" t="inlineStr" s="4">
        <is>
          <t>Codex QA Generator</t>
        </is>
      </c>
      <c r="V161" s="4"/>
      <c r="W161" s="4"/>
      <c r="X161" s="4"/>
      <c r="Y161" s="4"/>
    </row>
    <row r="162" ht="54" customHeight="1">
      <c r="A162" t="inlineStr" s="4">
        <is>
          <t>TC-API-006</t>
        </is>
      </c>
      <c r="B162" t="inlineStr" s="4">
        <is>
          <t>TS-API-001</t>
        </is>
      </c>
      <c r="C162" t="inlineStr" s="4">
        <is>
          <t>Mobile API</t>
        </is>
      </c>
      <c r="D162" t="inlineStr" s="4">
        <is>
          <t>Auth / Discovery / Booking / Scan / Profile</t>
        </is>
      </c>
      <c r="E162" t="inlineStr" s="4">
        <is>
          <t>Mobile passkey login rejects replayed assertion</t>
        </is>
      </c>
      <c r="F162" t="inlineStr" s="4">
        <is>
          <t>Mobile User</t>
        </is>
      </c>
      <c r="G162" t="inlineStr" s="4">
        <is>
          <t>Use QA API client with Sanctum token where required.</t>
        </is>
      </c>
      <c r="H162" t="inlineStr" s="4">
        <is>
          <t>POST /api/auth/passkeys/login</t>
        </is>
      </c>
      <c r="I162" t="inlineStr" s="4">
        <is>
          <t>1. Send API request with specified headers/payload.
2. Inspect status code and JSON body.
3. For state-changing requests, verify resulting resource state and ownership boundaries.</t>
        </is>
      </c>
      <c r="J162" t="inlineStr" s="4">
        <is>
          <t>Replay/unknown credential rejected.</t>
        </is>
      </c>
      <c r="K162" s="4"/>
      <c r="L162" t="inlineStr" s="4">
        <is>
          <t>Not Run</t>
        </is>
      </c>
      <c r="M162" t="inlineStr" s="4">
        <is>
          <t>P1</t>
        </is>
      </c>
      <c r="N162" t="inlineStr" s="4">
        <is>
          <t>High</t>
        </is>
      </c>
      <c r="O162" t="inlineStr" s="4">
        <is>
          <t>Integration</t>
        </is>
      </c>
      <c r="P162" t="inlineStr" s="4">
        <is>
          <t>Staging / QA</t>
        </is>
      </c>
      <c r="Q162" t="inlineStr" s="4">
        <is>
          <t>Chrome desktop + Android Chrome unless specified</t>
        </is>
      </c>
      <c r="R162" t="inlineStr" s="4">
        <is>
          <t>/api/*</t>
        </is>
      </c>
      <c r="S162" t="inlineStr" s="4">
        <is>
          <t>Yes</t>
        </is>
      </c>
      <c r="T162" t="inlineStr" s="4">
        <is>
          <t>Yes</t>
        </is>
      </c>
      <c r="U162" t="inlineStr" s="4">
        <is>
          <t>Codex QA Generator</t>
        </is>
      </c>
      <c r="V162" s="4"/>
      <c r="W162" s="4"/>
      <c r="X162" s="4"/>
      <c r="Y162" s="4"/>
    </row>
    <row r="163" ht="54" customHeight="1">
      <c r="A163" t="inlineStr" s="4">
        <is>
          <t>TC-API-007</t>
        </is>
      </c>
      <c r="B163" t="inlineStr" s="4">
        <is>
          <t>TS-API-001</t>
        </is>
      </c>
      <c r="C163" t="inlineStr" s="4">
        <is>
          <t>Mobile API</t>
        </is>
      </c>
      <c r="D163" t="inlineStr" s="4">
        <is>
          <t>Auth / Discovery / Booking / Scan / Profile</t>
        </is>
      </c>
      <c r="E163" t="inlineStr" s="4">
        <is>
          <t>Discovery metadata exposes only wisata type</t>
        </is>
      </c>
      <c r="F163" t="inlineStr" s="4">
        <is>
          <t>Mobile User</t>
        </is>
      </c>
      <c r="G163" t="inlineStr" s="4">
        <is>
          <t>Use QA API client with Sanctum token where required.</t>
        </is>
      </c>
      <c r="H163" t="inlineStr" s="4">
        <is>
          <t>GET /api/discovery/metadata</t>
        </is>
      </c>
      <c r="I163" t="inlineStr" s="4">
        <is>
          <t>1. Send API request with specified headers/payload.
2. Inspect status code and JSON body.
3. For state-changing requests, verify resulting resource state and ownership boundaries.</t>
        </is>
      </c>
      <c r="J163" t="inlineStr" s="4">
        <is>
          <t>Retired product types are not active in metadata.</t>
        </is>
      </c>
      <c r="K163" s="4"/>
      <c r="L163" t="inlineStr" s="4">
        <is>
          <t>Not Run</t>
        </is>
      </c>
      <c r="M163" t="inlineStr" s="4">
        <is>
          <t>P1</t>
        </is>
      </c>
      <c r="N163" t="inlineStr" s="4">
        <is>
          <t>High</t>
        </is>
      </c>
      <c r="O163" t="inlineStr" s="4">
        <is>
          <t>Integration</t>
        </is>
      </c>
      <c r="P163" t="inlineStr" s="4">
        <is>
          <t>Staging / QA</t>
        </is>
      </c>
      <c r="Q163" t="inlineStr" s="4">
        <is>
          <t>Chrome desktop + Android Chrome unless specified</t>
        </is>
      </c>
      <c r="R163" t="inlineStr" s="4">
        <is>
          <t>/api/*</t>
        </is>
      </c>
      <c r="S163" t="inlineStr" s="4">
        <is>
          <t>Yes</t>
        </is>
      </c>
      <c r="T163" t="inlineStr" s="4">
        <is>
          <t>Yes</t>
        </is>
      </c>
      <c r="U163" t="inlineStr" s="4">
        <is>
          <t>Codex QA Generator</t>
        </is>
      </c>
      <c r="V163" s="4"/>
      <c r="W163" s="4"/>
      <c r="X163" s="4"/>
      <c r="Y163" s="4"/>
    </row>
    <row r="164" ht="54" customHeight="1">
      <c r="A164" t="inlineStr" s="4">
        <is>
          <t>TC-API-008</t>
        </is>
      </c>
      <c r="B164" t="inlineStr" s="4">
        <is>
          <t>TS-API-001</t>
        </is>
      </c>
      <c r="C164" t="inlineStr" s="4">
        <is>
          <t>Mobile API</t>
        </is>
      </c>
      <c r="D164" t="inlineStr" s="4">
        <is>
          <t>Auth / Discovery / Booking / Scan / Profile</t>
        </is>
      </c>
      <c r="E164" t="inlineStr" s="4">
        <is>
          <t>Discovery search respects live status</t>
        </is>
      </c>
      <c r="F164" t="inlineStr" s="4">
        <is>
          <t>Mobile User</t>
        </is>
      </c>
      <c r="G164" t="inlineStr" s="4">
        <is>
          <t>Use QA API client with Sanctum token where required.</t>
        </is>
      </c>
      <c r="H164" t="inlineStr" s="4">
        <is>
          <t>GET /api/discovery/wisata?q=...</t>
        </is>
      </c>
      <c r="I164" t="inlineStr" s="4">
        <is>
          <t>1. Send API request with specified headers/payload.
2. Inspect status code and JSON body.
3. For state-changing requests, verify resulting resource state and ownership boundaries.</t>
        </is>
      </c>
      <c r="J164" t="inlineStr" s="4">
        <is>
          <t>Only live wisata destinations returned.</t>
        </is>
      </c>
      <c r="K164" s="4"/>
      <c r="L164" t="inlineStr" s="4">
        <is>
          <t>Not Run</t>
        </is>
      </c>
      <c r="M164" t="inlineStr" s="4">
        <is>
          <t>P1</t>
        </is>
      </c>
      <c r="N164" t="inlineStr" s="4">
        <is>
          <t>High</t>
        </is>
      </c>
      <c r="O164" t="inlineStr" s="4">
        <is>
          <t>Integration</t>
        </is>
      </c>
      <c r="P164" t="inlineStr" s="4">
        <is>
          <t>Staging / QA</t>
        </is>
      </c>
      <c r="Q164" t="inlineStr" s="4">
        <is>
          <t>Chrome desktop + Android Chrome unless specified</t>
        </is>
      </c>
      <c r="R164" t="inlineStr" s="4">
        <is>
          <t>/api/*</t>
        </is>
      </c>
      <c r="S164" t="inlineStr" s="4">
        <is>
          <t>Yes</t>
        </is>
      </c>
      <c r="T164" t="inlineStr" s="4">
        <is>
          <t>Yes</t>
        </is>
      </c>
      <c r="U164" t="inlineStr" s="4">
        <is>
          <t>Codex QA Generator</t>
        </is>
      </c>
      <c r="V164" s="4"/>
      <c r="W164" s="4"/>
      <c r="X164" s="4"/>
      <c r="Y164" s="4"/>
    </row>
    <row r="165" ht="54" customHeight="1">
      <c r="A165" t="inlineStr" s="4">
        <is>
          <t>TC-API-009</t>
        </is>
      </c>
      <c r="B165" t="inlineStr" s="4">
        <is>
          <t>TS-API-001</t>
        </is>
      </c>
      <c r="C165" t="inlineStr" s="4">
        <is>
          <t>Mobile API</t>
        </is>
      </c>
      <c r="D165" t="inlineStr" s="4">
        <is>
          <t>Auth / Discovery / Booking / Scan / Profile</t>
        </is>
      </c>
      <c r="E165" t="inlineStr" s="4">
        <is>
          <t>Products wisata detail returns one live destination</t>
        </is>
      </c>
      <c r="F165" t="inlineStr" s="4">
        <is>
          <t>Mobile User</t>
        </is>
      </c>
      <c r="G165" t="inlineStr" s="4">
        <is>
          <t>Use QA API client with Sanctum token where required.</t>
        </is>
      </c>
      <c r="H165" t="inlineStr" s="4">
        <is>
          <t>GET /api/products/wisata/{destination}</t>
        </is>
      </c>
      <c r="I165" t="inlineStr" s="4">
        <is>
          <t>1. Send API request with specified headers/payload.
2. Inspect status code and JSON body.
3. For state-changing requests, verify resulting resource state and ownership boundaries.</t>
        </is>
      </c>
      <c r="J165" t="inlineStr" s="4">
        <is>
          <t>Payload contains expected destination fields and ticket availability.</t>
        </is>
      </c>
      <c r="K165" s="4"/>
      <c r="L165" t="inlineStr" s="4">
        <is>
          <t>Not Run</t>
        </is>
      </c>
      <c r="M165" t="inlineStr" s="4">
        <is>
          <t>P1</t>
        </is>
      </c>
      <c r="N165" t="inlineStr" s="4">
        <is>
          <t>High</t>
        </is>
      </c>
      <c r="O165" t="inlineStr" s="4">
        <is>
          <t>Integration</t>
        </is>
      </c>
      <c r="P165" t="inlineStr" s="4">
        <is>
          <t>Staging / QA</t>
        </is>
      </c>
      <c r="Q165" t="inlineStr" s="4">
        <is>
          <t>Chrome desktop + Android Chrome unless specified</t>
        </is>
      </c>
      <c r="R165" t="inlineStr" s="4">
        <is>
          <t>/api/*</t>
        </is>
      </c>
      <c r="S165" t="inlineStr" s="4">
        <is>
          <t>Yes</t>
        </is>
      </c>
      <c r="T165" t="inlineStr" s="4">
        <is>
          <t>Yes</t>
        </is>
      </c>
      <c r="U165" t="inlineStr" s="4">
        <is>
          <t>Codex QA Generator</t>
        </is>
      </c>
      <c r="V165" s="4"/>
      <c r="W165" s="4"/>
      <c r="X165" s="4"/>
      <c r="Y165" s="4"/>
    </row>
    <row r="166" ht="54" customHeight="1">
      <c r="A166" t="inlineStr" s="4">
        <is>
          <t>TC-API-010</t>
        </is>
      </c>
      <c r="B166" t="inlineStr" s="4">
        <is>
          <t>TS-API-001</t>
        </is>
      </c>
      <c r="C166" t="inlineStr" s="4">
        <is>
          <t>Mobile API</t>
        </is>
      </c>
      <c r="D166" t="inlineStr" s="4">
        <is>
          <t>Auth / Discovery / Booking / Scan / Profile</t>
        </is>
      </c>
      <c r="E166" t="inlineStr" s="4">
        <is>
          <t>Wisata quote returns pricing for available ticket</t>
        </is>
      </c>
      <c r="F166" t="inlineStr" s="4">
        <is>
          <t>Mobile User</t>
        </is>
      </c>
      <c r="G166" t="inlineStr" s="4">
        <is>
          <t>Use QA API client with Sanctum token where required.</t>
        </is>
      </c>
      <c r="H166" t="inlineStr" s="4">
        <is>
          <t>POST /api/wisata/bookings/quote</t>
        </is>
      </c>
      <c r="I166" t="inlineStr" s="4">
        <is>
          <t>1. Send API request with specified headers/payload.
2. Inspect status code and JSON body.
3. For state-changing requests, verify resulting resource state and ownership boundaries.</t>
        </is>
      </c>
      <c r="J166" t="inlineStr" s="4">
        <is>
          <t>Pricing includes unit price, quantity, total, package fields if applicable.</t>
        </is>
      </c>
      <c r="K166" s="4"/>
      <c r="L166" t="inlineStr" s="4">
        <is>
          <t>Not Run</t>
        </is>
      </c>
      <c r="M166" t="inlineStr" s="4">
        <is>
          <t>P0</t>
        </is>
      </c>
      <c r="N166" t="inlineStr" s="4">
        <is>
          <t>High</t>
        </is>
      </c>
      <c r="O166" t="inlineStr" s="4">
        <is>
          <t>Integration</t>
        </is>
      </c>
      <c r="P166" t="inlineStr" s="4">
        <is>
          <t>Staging / QA</t>
        </is>
      </c>
      <c r="Q166" t="inlineStr" s="4">
        <is>
          <t>Chrome desktop + Android Chrome unless specified</t>
        </is>
      </c>
      <c r="R166" t="inlineStr" s="4">
        <is>
          <t>/api/*</t>
        </is>
      </c>
      <c r="S166" t="inlineStr" s="4">
        <is>
          <t>Yes</t>
        </is>
      </c>
      <c r="T166" t="inlineStr" s="4">
        <is>
          <t>Yes</t>
        </is>
      </c>
      <c r="U166" t="inlineStr" s="4">
        <is>
          <t>Codex QA Generator</t>
        </is>
      </c>
      <c r="V166" s="4"/>
      <c r="W166" s="4"/>
      <c r="X166" s="4"/>
      <c r="Y166" s="4"/>
    </row>
    <row r="167" ht="54" customHeight="1">
      <c r="A167" t="inlineStr" s="4">
        <is>
          <t>TC-API-011</t>
        </is>
      </c>
      <c r="B167" t="inlineStr" s="4">
        <is>
          <t>TS-API-001</t>
        </is>
      </c>
      <c r="C167" t="inlineStr" s="4">
        <is>
          <t>Mobile API</t>
        </is>
      </c>
      <c r="D167" t="inlineStr" s="4">
        <is>
          <t>Auth / Discovery / Booking / Scan / Profile</t>
        </is>
      </c>
      <c r="E167" t="inlineStr" s="4">
        <is>
          <t>Wisata quote rejects invalid encrypted/plain id</t>
        </is>
      </c>
      <c r="F167" t="inlineStr" s="4">
        <is>
          <t>Mobile User</t>
        </is>
      </c>
      <c r="G167" t="inlineStr" s="4">
        <is>
          <t>Use QA API client with Sanctum token where required.</t>
        </is>
      </c>
      <c r="H167" t="inlineStr" s="4">
        <is>
          <t>Malformed destination_id/ticket_id</t>
        </is>
      </c>
      <c r="I167" t="inlineStr" s="4">
        <is>
          <t>1. Send API request with specified headers/payload.
2. Inspect status code and JSON body.
3. For state-changing requests, verify resulting resource state and ownership boundaries.</t>
        </is>
      </c>
      <c r="J167" t="inlineStr" s="4">
        <is>
          <t>422 with field-specific invalid id message.</t>
        </is>
      </c>
      <c r="K167" s="4"/>
      <c r="L167" t="inlineStr" s="4">
        <is>
          <t>Not Run</t>
        </is>
      </c>
      <c r="M167" t="inlineStr" s="4">
        <is>
          <t>P1</t>
        </is>
      </c>
      <c r="N167" t="inlineStr" s="4">
        <is>
          <t>High</t>
        </is>
      </c>
      <c r="O167" t="inlineStr" s="4">
        <is>
          <t>Integration</t>
        </is>
      </c>
      <c r="P167" t="inlineStr" s="4">
        <is>
          <t>Staging / QA</t>
        </is>
      </c>
      <c r="Q167" t="inlineStr" s="4">
        <is>
          <t>Chrome desktop + Android Chrome unless specified</t>
        </is>
      </c>
      <c r="R167" t="inlineStr" s="4">
        <is>
          <t>/api/*</t>
        </is>
      </c>
      <c r="S167" t="inlineStr" s="4">
        <is>
          <t>Yes</t>
        </is>
      </c>
      <c r="T167" t="inlineStr" s="4">
        <is>
          <t>Yes</t>
        </is>
      </c>
      <c r="U167" t="inlineStr" s="4">
        <is>
          <t>Codex QA Generator</t>
        </is>
      </c>
      <c r="V167" s="4"/>
      <c r="W167" s="4"/>
      <c r="X167" s="4"/>
      <c r="Y167" s="4"/>
    </row>
    <row r="168" ht="54" customHeight="1">
      <c r="A168" t="inlineStr" s="4">
        <is>
          <t>TC-API-012</t>
        </is>
      </c>
      <c r="B168" t="inlineStr" s="4">
        <is>
          <t>TS-API-001</t>
        </is>
      </c>
      <c r="C168" t="inlineStr" s="4">
        <is>
          <t>Mobile API</t>
        </is>
      </c>
      <c r="D168" t="inlineStr" s="4">
        <is>
          <t>Auth / Discovery / Booking / Scan / Profile</t>
        </is>
      </c>
      <c r="E168" t="inlineStr" s="4">
        <is>
          <t>Wisata quote enforces min/max order limits</t>
        </is>
      </c>
      <c r="F168" t="inlineStr" s="4">
        <is>
          <t>Mobile User</t>
        </is>
      </c>
      <c r="G168" t="inlineStr" s="4">
        <is>
          <t>Use QA API client with Sanctum token where required.</t>
        </is>
      </c>
      <c r="H168" t="inlineStr" s="4">
        <is>
          <t>Quantity outside ticket limit</t>
        </is>
      </c>
      <c r="I168" t="inlineStr" s="4">
        <is>
          <t>1. Send API request with specified headers/payload.
2. Inspect status code and JSON body.
3. For state-changing requests, verify resulting resource state and ownership boundaries.</t>
        </is>
      </c>
      <c r="J168" t="inlineStr" s="4">
        <is>
          <t>422 with business-friendly message.</t>
        </is>
      </c>
      <c r="K168" s="4"/>
      <c r="L168" t="inlineStr" s="4">
        <is>
          <t>Not Run</t>
        </is>
      </c>
      <c r="M168" t="inlineStr" s="4">
        <is>
          <t>P1</t>
        </is>
      </c>
      <c r="N168" t="inlineStr" s="4">
        <is>
          <t>High</t>
        </is>
      </c>
      <c r="O168" t="inlineStr" s="4">
        <is>
          <t>Integration</t>
        </is>
      </c>
      <c r="P168" t="inlineStr" s="4">
        <is>
          <t>Staging / QA</t>
        </is>
      </c>
      <c r="Q168" t="inlineStr" s="4">
        <is>
          <t>Chrome desktop + Android Chrome unless specified</t>
        </is>
      </c>
      <c r="R168" t="inlineStr" s="4">
        <is>
          <t>/api/*</t>
        </is>
      </c>
      <c r="S168" t="inlineStr" s="4">
        <is>
          <t>Yes</t>
        </is>
      </c>
      <c r="T168" t="inlineStr" s="4">
        <is>
          <t>Yes</t>
        </is>
      </c>
      <c r="U168" t="inlineStr" s="4">
        <is>
          <t>Codex QA Generator</t>
        </is>
      </c>
      <c r="V168" s="4"/>
      <c r="W168" s="4"/>
      <c r="X168" s="4"/>
      <c r="Y168" s="4"/>
    </row>
    <row r="169" ht="54" customHeight="1">
      <c r="A169" t="inlineStr" s="4">
        <is>
          <t>TC-API-013</t>
        </is>
      </c>
      <c r="B169" t="inlineStr" s="4">
        <is>
          <t>TS-API-001</t>
        </is>
      </c>
      <c r="C169" t="inlineStr" s="4">
        <is>
          <t>Mobile API</t>
        </is>
      </c>
      <c r="D169" t="inlineStr" s="4">
        <is>
          <t>Auth / Discovery / Booking / Scan / Profile</t>
        </is>
      </c>
      <c r="E169" t="inlineStr" s="4">
        <is>
          <t>Mobile booking store creates booking for authenticated verified user</t>
        </is>
      </c>
      <c r="F169" t="inlineStr" s="4">
        <is>
          <t>Mobile User</t>
        </is>
      </c>
      <c r="G169" t="inlineStr" s="4">
        <is>
          <t>Use QA API client with Sanctum token where required.</t>
        </is>
      </c>
      <c r="H169" t="inlineStr" s="4">
        <is>
          <t>POST /api/wisata/bookings</t>
        </is>
      </c>
      <c r="I169" t="inlineStr" s="4">
        <is>
          <t>1. Send API request with specified headers/payload.
2. Inspect status code and JSON body.
3. For state-changing requests, verify resulting resource state and ownership boundaries.</t>
        </is>
      </c>
      <c r="J169" t="inlineStr" s="4">
        <is>
          <t>201 booking payload and notifications created.</t>
        </is>
      </c>
      <c r="K169" s="4"/>
      <c r="L169" t="inlineStr" s="4">
        <is>
          <t>Not Run</t>
        </is>
      </c>
      <c r="M169" t="inlineStr" s="4">
        <is>
          <t>P0</t>
        </is>
      </c>
      <c r="N169" t="inlineStr" s="4">
        <is>
          <t>High</t>
        </is>
      </c>
      <c r="O169" t="inlineStr" s="4">
        <is>
          <t>Integration</t>
        </is>
      </c>
      <c r="P169" t="inlineStr" s="4">
        <is>
          <t>Staging / QA</t>
        </is>
      </c>
      <c r="Q169" t="inlineStr" s="4">
        <is>
          <t>Chrome desktop + Android Chrome unless specified</t>
        </is>
      </c>
      <c r="R169" t="inlineStr" s="4">
        <is>
          <t>/api/*</t>
        </is>
      </c>
      <c r="S169" t="inlineStr" s="4">
        <is>
          <t>Yes</t>
        </is>
      </c>
      <c r="T169" t="inlineStr" s="4">
        <is>
          <t>Yes</t>
        </is>
      </c>
      <c r="U169" t="inlineStr" s="4">
        <is>
          <t>Codex QA Generator</t>
        </is>
      </c>
      <c r="V169" s="4"/>
      <c r="W169" s="4"/>
      <c r="X169" s="4"/>
      <c r="Y169" s="4"/>
    </row>
    <row r="170" ht="54" customHeight="1">
      <c r="A170" t="inlineStr" s="4">
        <is>
          <t>TC-API-014</t>
        </is>
      </c>
      <c r="B170" t="inlineStr" s="4">
        <is>
          <t>TS-API-001</t>
        </is>
      </c>
      <c r="C170" t="inlineStr" s="4">
        <is>
          <t>Mobile API</t>
        </is>
      </c>
      <c r="D170" t="inlineStr" s="4">
        <is>
          <t>Auth / Discovery / Booking / Scan / Profile</t>
        </is>
      </c>
      <c r="E170" t="inlineStr" s="4">
        <is>
          <t>Mobile booking store blocked without profile phone</t>
        </is>
      </c>
      <c r="F170" t="inlineStr" s="4">
        <is>
          <t>Mobile User</t>
        </is>
      </c>
      <c r="G170" t="inlineStr" s="4">
        <is>
          <t>Use QA API client with Sanctum token where required.</t>
        </is>
      </c>
      <c r="H170" t="inlineStr" s="4">
        <is>
          <t>User phone empty</t>
        </is>
      </c>
      <c r="I170" t="inlineStr" s="4">
        <is>
          <t>1. Send API request with specified headers/payload.
2. Inspect status code and JSON body.
3. For state-changing requests, verify resulting resource state and ownership boundaries.</t>
        </is>
      </c>
      <c r="J170" t="inlineStr" s="4">
        <is>
          <t>422 Nomor HP belum diisi di profil.</t>
        </is>
      </c>
      <c r="K170" s="4"/>
      <c r="L170" t="inlineStr" s="4">
        <is>
          <t>Not Run</t>
        </is>
      </c>
      <c r="M170" t="inlineStr" s="4">
        <is>
          <t>P1</t>
        </is>
      </c>
      <c r="N170" t="inlineStr" s="4">
        <is>
          <t>High</t>
        </is>
      </c>
      <c r="O170" t="inlineStr" s="4">
        <is>
          <t>Integration</t>
        </is>
      </c>
      <c r="P170" t="inlineStr" s="4">
        <is>
          <t>Staging / QA</t>
        </is>
      </c>
      <c r="Q170" t="inlineStr" s="4">
        <is>
          <t>Chrome desktop + Android Chrome unless specified</t>
        </is>
      </c>
      <c r="R170" t="inlineStr" s="4">
        <is>
          <t>/api/*</t>
        </is>
      </c>
      <c r="S170" t="inlineStr" s="4">
        <is>
          <t>Yes</t>
        </is>
      </c>
      <c r="T170" t="inlineStr" s="4">
        <is>
          <t>Yes</t>
        </is>
      </c>
      <c r="U170" t="inlineStr" s="4">
        <is>
          <t>Codex QA Generator</t>
        </is>
      </c>
      <c r="V170" s="4"/>
      <c r="W170" s="4"/>
      <c r="X170" s="4"/>
      <c r="Y170" s="4"/>
    </row>
    <row r="171" ht="54" customHeight="1">
      <c r="A171" t="inlineStr" s="4">
        <is>
          <t>TC-API-015</t>
        </is>
      </c>
      <c r="B171" t="inlineStr" s="4">
        <is>
          <t>TS-API-001</t>
        </is>
      </c>
      <c r="C171" t="inlineStr" s="4">
        <is>
          <t>Mobile API</t>
        </is>
      </c>
      <c r="D171" t="inlineStr" s="4">
        <is>
          <t>Auth / Discovery / Booking / Scan / Profile</t>
        </is>
      </c>
      <c r="E171" t="inlineStr" s="4">
        <is>
          <t>Mobile booking show enforces ownership</t>
        </is>
      </c>
      <c r="F171" t="inlineStr" s="4">
        <is>
          <t>Mobile User</t>
        </is>
      </c>
      <c r="G171" t="inlineStr" s="4">
        <is>
          <t>Use QA API client with Sanctum token where required.</t>
        </is>
      </c>
      <c r="H171" t="inlineStr" s="4">
        <is>
          <t>Booking owned by different user</t>
        </is>
      </c>
      <c r="I171" t="inlineStr" s="4">
        <is>
          <t>1. Send API request with specified headers/payload.
2. Inspect status code and JSON body.
3. For state-changing requests, verify resulting resource state and ownership boundaries.</t>
        </is>
      </c>
      <c r="J171" t="inlineStr" s="4">
        <is>
          <t>404/no data exposure.</t>
        </is>
      </c>
      <c r="K171" s="4"/>
      <c r="L171" t="inlineStr" s="4">
        <is>
          <t>Not Run</t>
        </is>
      </c>
      <c r="M171" t="inlineStr" s="4">
        <is>
          <t>P0</t>
        </is>
      </c>
      <c r="N171" t="inlineStr" s="4">
        <is>
          <t>Critical</t>
        </is>
      </c>
      <c r="O171" t="inlineStr" s="4">
        <is>
          <t>Integration</t>
        </is>
      </c>
      <c r="P171" t="inlineStr" s="4">
        <is>
          <t>Staging / QA</t>
        </is>
      </c>
      <c r="Q171" t="inlineStr" s="4">
        <is>
          <t>Chrome desktop + Android Chrome unless specified</t>
        </is>
      </c>
      <c r="R171" t="inlineStr" s="4">
        <is>
          <t>/api/*</t>
        </is>
      </c>
      <c r="S171" t="inlineStr" s="4">
        <is>
          <t>Yes</t>
        </is>
      </c>
      <c r="T171" t="inlineStr" s="4">
        <is>
          <t>Yes</t>
        </is>
      </c>
      <c r="U171" t="inlineStr" s="4">
        <is>
          <t>Codex QA Generator</t>
        </is>
      </c>
      <c r="V171" s="4"/>
      <c r="W171" s="4"/>
      <c r="X171" s="4"/>
      <c r="Y171" s="4"/>
    </row>
    <row r="172" ht="54" customHeight="1">
      <c r="A172" t="inlineStr" s="4">
        <is>
          <t>TC-API-016</t>
        </is>
      </c>
      <c r="B172" t="inlineStr" s="4">
        <is>
          <t>TS-API-001</t>
        </is>
      </c>
      <c r="C172" t="inlineStr" s="4">
        <is>
          <t>Mobile API</t>
        </is>
      </c>
      <c r="D172" t="inlineStr" s="4">
        <is>
          <t>Auth / Discovery / Booking / Scan / Profile</t>
        </is>
      </c>
      <c r="E172" t="inlineStr" s="4">
        <is>
          <t>Mobile booking pay reuses existing pending payment</t>
        </is>
      </c>
      <c r="F172" t="inlineStr" s="4">
        <is>
          <t>Mobile User</t>
        </is>
      </c>
      <c r="G172" t="inlineStr" s="4">
        <is>
          <t>Use QA API client with Sanctum token where required.</t>
        </is>
      </c>
      <c r="H172" t="inlineStr" s="4">
        <is>
          <t>Existing pending payment</t>
        </is>
      </c>
      <c r="I172" t="inlineStr" s="4">
        <is>
          <t>1. Send API request with specified headers/payload.
2. Inspect status code and JSON body.
3. For state-changing requests, verify resulting resource state and ownership boundaries.</t>
        </is>
      </c>
      <c r="J172" t="inlineStr" s="4">
        <is>
          <t>Payment payload reuses token/redirect.</t>
        </is>
      </c>
      <c r="K172" s="4"/>
      <c r="L172" t="inlineStr" s="4">
        <is>
          <t>Not Run</t>
        </is>
      </c>
      <c r="M172" t="inlineStr" s="4">
        <is>
          <t>P1</t>
        </is>
      </c>
      <c r="N172" t="inlineStr" s="4">
        <is>
          <t>High</t>
        </is>
      </c>
      <c r="O172" t="inlineStr" s="4">
        <is>
          <t>Integration</t>
        </is>
      </c>
      <c r="P172" t="inlineStr" s="4">
        <is>
          <t>Staging / QA</t>
        </is>
      </c>
      <c r="Q172" t="inlineStr" s="4">
        <is>
          <t>Chrome desktop + Android Chrome unless specified</t>
        </is>
      </c>
      <c r="R172" t="inlineStr" s="4">
        <is>
          <t>/api/*</t>
        </is>
      </c>
      <c r="S172" t="inlineStr" s="4">
        <is>
          <t>Yes</t>
        </is>
      </c>
      <c r="T172" t="inlineStr" s="4">
        <is>
          <t>Yes</t>
        </is>
      </c>
      <c r="U172" t="inlineStr" s="4">
        <is>
          <t>Codex QA Generator</t>
        </is>
      </c>
      <c r="V172" s="4"/>
      <c r="W172" s="4"/>
      <c r="X172" s="4"/>
      <c r="Y172" s="4"/>
    </row>
    <row r="173" ht="54" customHeight="1">
      <c r="A173" t="inlineStr" s="4">
        <is>
          <t>TC-API-017</t>
        </is>
      </c>
      <c r="B173" t="inlineStr" s="4">
        <is>
          <t>TS-API-001</t>
        </is>
      </c>
      <c r="C173" t="inlineStr" s="4">
        <is>
          <t>Mobile API</t>
        </is>
      </c>
      <c r="D173" t="inlineStr" s="4">
        <is>
          <t>Auth / Discovery / Booking / Scan / Profile</t>
        </is>
      </c>
      <c r="E173" t="inlineStr" s="4">
        <is>
          <t>Mobile booking cancel updates own pending booking</t>
        </is>
      </c>
      <c r="F173" t="inlineStr" s="4">
        <is>
          <t>Mobile User</t>
        </is>
      </c>
      <c r="G173" t="inlineStr" s="4">
        <is>
          <t>Use QA API client with Sanctum token where required.</t>
        </is>
      </c>
      <c r="H173" t="inlineStr" s="4">
        <is>
          <t>Own pending booking</t>
        </is>
      </c>
      <c r="I173" t="inlineStr" s="4">
        <is>
          <t>1. Send API request with specified headers/payload.
2. Inspect status code and JSON body.
3. For state-changing requests, verify resulting resource state and ownership boundaries.</t>
        </is>
      </c>
      <c r="J173" t="inlineStr" s="4">
        <is>
          <t>Booking status changes to cancelled safely.</t>
        </is>
      </c>
      <c r="K173" s="4"/>
      <c r="L173" t="inlineStr" s="4">
        <is>
          <t>Not Run</t>
        </is>
      </c>
      <c r="M173" t="inlineStr" s="4">
        <is>
          <t>P1</t>
        </is>
      </c>
      <c r="N173" t="inlineStr" s="4">
        <is>
          <t>High</t>
        </is>
      </c>
      <c r="O173" t="inlineStr" s="4">
        <is>
          <t>Integration</t>
        </is>
      </c>
      <c r="P173" t="inlineStr" s="4">
        <is>
          <t>Staging / QA</t>
        </is>
      </c>
      <c r="Q173" t="inlineStr" s="4">
        <is>
          <t>Chrome desktop + Android Chrome unless specified</t>
        </is>
      </c>
      <c r="R173" t="inlineStr" s="4">
        <is>
          <t>/api/*</t>
        </is>
      </c>
      <c r="S173" t="inlineStr" s="4">
        <is>
          <t>Yes</t>
        </is>
      </c>
      <c r="T173" t="inlineStr" s="4">
        <is>
          <t>Yes</t>
        </is>
      </c>
      <c r="U173" t="inlineStr" s="4">
        <is>
          <t>Codex QA Generator</t>
        </is>
      </c>
      <c r="V173" s="4"/>
      <c r="W173" s="4"/>
      <c r="X173" s="4"/>
      <c r="Y173" s="4"/>
    </row>
    <row r="174" ht="54" customHeight="1">
      <c r="A174" t="inlineStr" s="4">
        <is>
          <t>TC-API-018</t>
        </is>
      </c>
      <c r="B174" t="inlineStr" s="4">
        <is>
          <t>TS-API-001</t>
        </is>
      </c>
      <c r="C174" t="inlineStr" s="4">
        <is>
          <t>Mobile API</t>
        </is>
      </c>
      <c r="D174" t="inlineStr" s="4">
        <is>
          <t>Auth / Discovery / Booking / Scan / Profile</t>
        </is>
      </c>
      <c r="E174" t="inlineStr" s="4">
        <is>
          <t>Mobile ticket endpoint returns paid ticket only</t>
        </is>
      </c>
      <c r="F174" t="inlineStr" s="4">
        <is>
          <t>Mobile User</t>
        </is>
      </c>
      <c r="G174" t="inlineStr" s="4">
        <is>
          <t>Use QA API client with Sanctum token where required.</t>
        </is>
      </c>
      <c r="H174" t="inlineStr" s="4">
        <is>
          <t>Paid vs unpaid booking</t>
        </is>
      </c>
      <c r="I174" t="inlineStr" s="4">
        <is>
          <t>1. Send API request with specified headers/payload.
2. Inspect status code and JSON body.
3. For state-changing requests, verify resulting resource state and ownership boundaries.</t>
        </is>
      </c>
      <c r="J174" t="inlineStr" s="4">
        <is>
          <t>Ticket data returned only when eligible.</t>
        </is>
      </c>
      <c r="K174" s="4"/>
      <c r="L174" t="inlineStr" s="4">
        <is>
          <t>Not Run</t>
        </is>
      </c>
      <c r="M174" t="inlineStr" s="4">
        <is>
          <t>P1</t>
        </is>
      </c>
      <c r="N174" t="inlineStr" s="4">
        <is>
          <t>High</t>
        </is>
      </c>
      <c r="O174" t="inlineStr" s="4">
        <is>
          <t>Integration</t>
        </is>
      </c>
      <c r="P174" t="inlineStr" s="4">
        <is>
          <t>Staging / QA</t>
        </is>
      </c>
      <c r="Q174" t="inlineStr" s="4">
        <is>
          <t>Chrome desktop + Android Chrome unless specified</t>
        </is>
      </c>
      <c r="R174" t="inlineStr" s="4">
        <is>
          <t>/api/*</t>
        </is>
      </c>
      <c r="S174" t="inlineStr" s="4">
        <is>
          <t>Yes</t>
        </is>
      </c>
      <c r="T174" t="inlineStr" s="4">
        <is>
          <t>Yes</t>
        </is>
      </c>
      <c r="U174" t="inlineStr" s="4">
        <is>
          <t>Codex QA Generator</t>
        </is>
      </c>
      <c r="V174" s="4"/>
      <c r="W174" s="4"/>
      <c r="X174" s="4"/>
      <c r="Y174" s="4"/>
    </row>
    <row r="175" ht="54" customHeight="1">
      <c r="A175" t="inlineStr" s="4">
        <is>
          <t>TC-API-019</t>
        </is>
      </c>
      <c r="B175" t="inlineStr" s="4">
        <is>
          <t>TS-API-001</t>
        </is>
      </c>
      <c r="C175" t="inlineStr" s="4">
        <is>
          <t>Mobile API</t>
        </is>
      </c>
      <c r="D175" t="inlineStr" s="4">
        <is>
          <t>Auth / Discovery / Booking / Scan / Profile</t>
        </is>
      </c>
      <c r="E175" t="inlineStr" s="4">
        <is>
          <t>Mobile scan lookup requires authenticated verified user</t>
        </is>
      </c>
      <c r="F175" t="inlineStr" s="4">
        <is>
          <t>Mobile User</t>
        </is>
      </c>
      <c r="G175" t="inlineStr" s="4">
        <is>
          <t>Use QA API client with Sanctum token where required.</t>
        </is>
      </c>
      <c r="H175" t="inlineStr" s="4">
        <is>
          <t>GET /api/wisata/ticket-scans/lookup</t>
        </is>
      </c>
      <c r="I175" t="inlineStr" s="4">
        <is>
          <t>1. Send API request with specified headers/payload.
2. Inspect status code and JSON body.
3. For state-changing requests, verify resulting resource state and ownership boundaries.</t>
        </is>
      </c>
      <c r="J175" t="inlineStr" s="4">
        <is>
          <t>Guest denied; user receives destination/ticket lookup.</t>
        </is>
      </c>
      <c r="K175" s="4"/>
      <c r="L175" t="inlineStr" s="4">
        <is>
          <t>Not Run</t>
        </is>
      </c>
      <c r="M175" t="inlineStr" s="4">
        <is>
          <t>P1</t>
        </is>
      </c>
      <c r="N175" t="inlineStr" s="4">
        <is>
          <t>High</t>
        </is>
      </c>
      <c r="O175" t="inlineStr" s="4">
        <is>
          <t>Integration</t>
        </is>
      </c>
      <c r="P175" t="inlineStr" s="4">
        <is>
          <t>Staging / QA</t>
        </is>
      </c>
      <c r="Q175" t="inlineStr" s="4">
        <is>
          <t>Chrome desktop + Android Chrome unless specified</t>
        </is>
      </c>
      <c r="R175" t="inlineStr" s="4">
        <is>
          <t>/api/*</t>
        </is>
      </c>
      <c r="S175" t="inlineStr" s="4">
        <is>
          <t>Yes</t>
        </is>
      </c>
      <c r="T175" t="inlineStr" s="4">
        <is>
          <t>Yes</t>
        </is>
      </c>
      <c r="U175" t="inlineStr" s="4">
        <is>
          <t>Codex QA Generator</t>
        </is>
      </c>
      <c r="V175" s="4"/>
      <c r="W175" s="4"/>
      <c r="X175" s="4"/>
      <c r="Y175" s="4"/>
    </row>
    <row r="176" ht="54" customHeight="1">
      <c r="A176" t="inlineStr" s="4">
        <is>
          <t>TC-API-020</t>
        </is>
      </c>
      <c r="B176" t="inlineStr" s="4">
        <is>
          <t>TS-API-001</t>
        </is>
      </c>
      <c r="C176" t="inlineStr" s="4">
        <is>
          <t>Mobile API</t>
        </is>
      </c>
      <c r="D176" t="inlineStr" s="4">
        <is>
          <t>Auth / Discovery / Booking / Scan / Profile</t>
        </is>
      </c>
      <c r="E176" t="inlineStr" s="4">
        <is>
          <t>Mobile scan use consumes one item only once</t>
        </is>
      </c>
      <c r="F176" t="inlineStr" s="4">
        <is>
          <t>Mobile User</t>
        </is>
      </c>
      <c r="G176" t="inlineStr" s="4">
        <is>
          <t>Use QA API client with Sanctum token where required.</t>
        </is>
      </c>
      <c r="H176" t="inlineStr" s="4">
        <is>
          <t>POST /api/wisata/ticket-scans/use</t>
        </is>
      </c>
      <c r="I176" t="inlineStr" s="4">
        <is>
          <t>1. Send API request with specified headers/payload.
2. Inspect status code and JSON body.
3. For state-changing requests, verify resulting resource state and ownership boundaries.</t>
        </is>
      </c>
      <c r="J176" t="inlineStr" s="4">
        <is>
          <t>Success first time; second attempt rejected.</t>
        </is>
      </c>
      <c r="K176" s="4"/>
      <c r="L176" t="inlineStr" s="4">
        <is>
          <t>Not Run</t>
        </is>
      </c>
      <c r="M176" t="inlineStr" s="4">
        <is>
          <t>P0</t>
        </is>
      </c>
      <c r="N176" t="inlineStr" s="4">
        <is>
          <t>Critical</t>
        </is>
      </c>
      <c r="O176" t="inlineStr" s="4">
        <is>
          <t>Integration</t>
        </is>
      </c>
      <c r="P176" t="inlineStr" s="4">
        <is>
          <t>Staging / QA</t>
        </is>
      </c>
      <c r="Q176" t="inlineStr" s="4">
        <is>
          <t>Chrome desktop + Android Chrome unless specified</t>
        </is>
      </c>
      <c r="R176" t="inlineStr" s="4">
        <is>
          <t>/api/*</t>
        </is>
      </c>
      <c r="S176" t="inlineStr" s="4">
        <is>
          <t>Yes</t>
        </is>
      </c>
      <c r="T176" t="inlineStr" s="4">
        <is>
          <t>Yes</t>
        </is>
      </c>
      <c r="U176" t="inlineStr" s="4">
        <is>
          <t>Codex QA Generator</t>
        </is>
      </c>
      <c r="V176" s="4"/>
      <c r="W176" s="4"/>
      <c r="X176" s="4"/>
      <c r="Y176" s="4"/>
    </row>
    <row r="177" ht="54" customHeight="1">
      <c r="A177" t="inlineStr" s="4">
        <is>
          <t>TC-API-021</t>
        </is>
      </c>
      <c r="B177" t="inlineStr" s="4">
        <is>
          <t>TS-API-001</t>
        </is>
      </c>
      <c r="C177" t="inlineStr" s="4">
        <is>
          <t>Mobile API</t>
        </is>
      </c>
      <c r="D177" t="inlineStr" s="4">
        <is>
          <t>Auth / Discovery / Booking / Scan / Profile</t>
        </is>
      </c>
      <c r="E177" t="inlineStr" s="4">
        <is>
          <t>Mobile notifications unread count works</t>
        </is>
      </c>
      <c r="F177" t="inlineStr" s="4">
        <is>
          <t>Mobile User</t>
        </is>
      </c>
      <c r="G177" t="inlineStr" s="4">
        <is>
          <t>Use QA API client with Sanctum token where required.</t>
        </is>
      </c>
      <c r="H177" t="inlineStr" s="4">
        <is>
          <t>GET /api/notifications/unread-count</t>
        </is>
      </c>
      <c r="I177" t="inlineStr" s="4">
        <is>
          <t>1. Send API request with specified headers/payload.
2. Inspect status code and JSON body.
3. For state-changing requests, verify resulting resource state and ownership boundaries.</t>
        </is>
      </c>
      <c r="J177" t="inlineStr" s="4">
        <is>
          <t>Count matches unread notifications for user.</t>
        </is>
      </c>
      <c r="K177" s="4"/>
      <c r="L177" t="inlineStr" s="4">
        <is>
          <t>Not Run</t>
        </is>
      </c>
      <c r="M177" t="inlineStr" s="4">
        <is>
          <t>P1</t>
        </is>
      </c>
      <c r="N177" t="inlineStr" s="4">
        <is>
          <t>High</t>
        </is>
      </c>
      <c r="O177" t="inlineStr" s="4">
        <is>
          <t>Integration</t>
        </is>
      </c>
      <c r="P177" t="inlineStr" s="4">
        <is>
          <t>Staging / QA</t>
        </is>
      </c>
      <c r="Q177" t="inlineStr" s="4">
        <is>
          <t>Chrome desktop + Android Chrome unless specified</t>
        </is>
      </c>
      <c r="R177" t="inlineStr" s="4">
        <is>
          <t>/api/*</t>
        </is>
      </c>
      <c r="S177" t="inlineStr" s="4">
        <is>
          <t>Yes</t>
        </is>
      </c>
      <c r="T177" t="inlineStr" s="4">
        <is>
          <t>Yes</t>
        </is>
      </c>
      <c r="U177" t="inlineStr" s="4">
        <is>
          <t>Codex QA Generator</t>
        </is>
      </c>
      <c r="V177" s="4"/>
      <c r="W177" s="4"/>
      <c r="X177" s="4"/>
      <c r="Y177" s="4"/>
    </row>
    <row r="178" ht="54" customHeight="1">
      <c r="A178" t="inlineStr" s="4">
        <is>
          <t>TC-API-022</t>
        </is>
      </c>
      <c r="B178" t="inlineStr" s="4">
        <is>
          <t>TS-API-001</t>
        </is>
      </c>
      <c r="C178" t="inlineStr" s="4">
        <is>
          <t>Mobile API</t>
        </is>
      </c>
      <c r="D178" t="inlineStr" s="4">
        <is>
          <t>Auth / Discovery / Booking / Scan / Profile</t>
        </is>
      </c>
      <c r="E178" t="inlineStr" s="4">
        <is>
          <t>Push token store/revoke validates token</t>
        </is>
      </c>
      <c r="F178" t="inlineStr" s="4">
        <is>
          <t>Mobile User</t>
        </is>
      </c>
      <c r="G178" t="inlineStr" s="4">
        <is>
          <t>Use QA API client with Sanctum token where required.</t>
        </is>
      </c>
      <c r="H178" t="inlineStr" s="4">
        <is>
          <t>POST /api/push/tokens</t>
        </is>
      </c>
      <c r="I178" t="inlineStr" s="4">
        <is>
          <t>1. Send API request with specified headers/payload.
2. Inspect status code and JSON body.
3. For state-changing requests, verify resulting resource state and ownership boundaries.</t>
        </is>
      </c>
      <c r="J178" t="inlineStr" s="4">
        <is>
          <t>Token stored/revoked for current user only.</t>
        </is>
      </c>
      <c r="K178" s="4"/>
      <c r="L178" t="inlineStr" s="4">
        <is>
          <t>Not Run</t>
        </is>
      </c>
      <c r="M178" t="inlineStr" s="4">
        <is>
          <t>P1</t>
        </is>
      </c>
      <c r="N178" t="inlineStr" s="4">
        <is>
          <t>High</t>
        </is>
      </c>
      <c r="O178" t="inlineStr" s="4">
        <is>
          <t>Integration</t>
        </is>
      </c>
      <c r="P178" t="inlineStr" s="4">
        <is>
          <t>Staging / QA</t>
        </is>
      </c>
      <c r="Q178" t="inlineStr" s="4">
        <is>
          <t>Chrome desktop + Android Chrome unless specified</t>
        </is>
      </c>
      <c r="R178" t="inlineStr" s="4">
        <is>
          <t>/api/*</t>
        </is>
      </c>
      <c r="S178" t="inlineStr" s="4">
        <is>
          <t>Yes</t>
        </is>
      </c>
      <c r="T178" t="inlineStr" s="4">
        <is>
          <t>Yes</t>
        </is>
      </c>
      <c r="U178" t="inlineStr" s="4">
        <is>
          <t>Codex QA Generator</t>
        </is>
      </c>
      <c r="V178" s="4"/>
      <c r="W178" s="4"/>
      <c r="X178" s="4"/>
      <c r="Y178" s="4"/>
    </row>
    <row r="179" ht="54" customHeight="1">
      <c r="A179" t="inlineStr" s="4">
        <is>
          <t>TC-API-023</t>
        </is>
      </c>
      <c r="B179" t="inlineStr" s="4">
        <is>
          <t>TS-API-001</t>
        </is>
      </c>
      <c r="C179" t="inlineStr" s="4">
        <is>
          <t>Mobile API</t>
        </is>
      </c>
      <c r="D179" t="inlineStr" s="4">
        <is>
          <t>Auth / Discovery / Booking / Scan / Profile</t>
        </is>
      </c>
      <c r="E179" t="inlineStr" s="4">
        <is>
          <t>Profile update API requires phone</t>
        </is>
      </c>
      <c r="F179" t="inlineStr" s="4">
        <is>
          <t>Mobile User</t>
        </is>
      </c>
      <c r="G179" t="inlineStr" s="4">
        <is>
          <t>Use QA API client with Sanctum token where required.</t>
        </is>
      </c>
      <c r="H179" t="inlineStr" s="4">
        <is>
          <t>PUT /api/profile</t>
        </is>
      </c>
      <c r="I179" t="inlineStr" s="4">
        <is>
          <t>1. Send API request with specified headers/payload.
2. Inspect status code and JSON body.
3. For state-changing requests, verify resulting resource state and ownership boundaries.</t>
        </is>
      </c>
      <c r="J179" t="inlineStr" s="4">
        <is>
          <t>Profile update rejects missing phone.</t>
        </is>
      </c>
      <c r="K179" s="4"/>
      <c r="L179" t="inlineStr" s="4">
        <is>
          <t>Not Run</t>
        </is>
      </c>
      <c r="M179" t="inlineStr" s="4">
        <is>
          <t>P1</t>
        </is>
      </c>
      <c r="N179" t="inlineStr" s="4">
        <is>
          <t>High</t>
        </is>
      </c>
      <c r="O179" t="inlineStr" s="4">
        <is>
          <t>Integration</t>
        </is>
      </c>
      <c r="P179" t="inlineStr" s="4">
        <is>
          <t>Staging / QA</t>
        </is>
      </c>
      <c r="Q179" t="inlineStr" s="4">
        <is>
          <t>Chrome desktop + Android Chrome unless specified</t>
        </is>
      </c>
      <c r="R179" t="inlineStr" s="4">
        <is>
          <t>/api/*</t>
        </is>
      </c>
      <c r="S179" t="inlineStr" s="4">
        <is>
          <t>Yes</t>
        </is>
      </c>
      <c r="T179" t="inlineStr" s="4">
        <is>
          <t>Yes</t>
        </is>
      </c>
      <c r="U179" t="inlineStr" s="4">
        <is>
          <t>Codex QA Generator</t>
        </is>
      </c>
      <c r="V179" s="4"/>
      <c r="W179" s="4"/>
      <c r="X179" s="4"/>
      <c r="Y179" s="4"/>
    </row>
    <row r="180" ht="54" customHeight="1">
      <c r="A180" t="inlineStr" s="4">
        <is>
          <t>TC-API-024</t>
        </is>
      </c>
      <c r="B180" t="inlineStr" s="4">
        <is>
          <t>TS-API-001</t>
        </is>
      </c>
      <c r="C180" t="inlineStr" s="4">
        <is>
          <t>Mobile API</t>
        </is>
      </c>
      <c r="D180" t="inlineStr" s="4">
        <is>
          <t>Auth / Discovery / Booking / Scan / Profile</t>
        </is>
      </c>
      <c r="E180" t="inlineStr" s="4">
        <is>
          <t>Review API rejects invalid media upload</t>
        </is>
      </c>
      <c r="F180" t="inlineStr" s="4">
        <is>
          <t>Mobile User</t>
        </is>
      </c>
      <c r="G180" t="inlineStr" s="4">
        <is>
          <t>Use QA API client with Sanctum token where required.</t>
        </is>
      </c>
      <c r="H180" t="inlineStr" s="4">
        <is>
          <t>POST /api/reviews</t>
        </is>
      </c>
      <c r="I180" t="inlineStr" s="4">
        <is>
          <t>1. Send API request with specified headers/payload.
2. Inspect status code and JSON body.
3. For state-changing requests, verify resulting resource state and ownership boundaries.</t>
        </is>
      </c>
      <c r="J180" t="inlineStr" s="4">
        <is>
          <t>Executable/non-image payload rejected.</t>
        </is>
      </c>
      <c r="K180" s="4"/>
      <c r="L180" t="inlineStr" s="4">
        <is>
          <t>Not Run</t>
        </is>
      </c>
      <c r="M180" t="inlineStr" s="4">
        <is>
          <t>P1</t>
        </is>
      </c>
      <c r="N180" t="inlineStr" s="4">
        <is>
          <t>High</t>
        </is>
      </c>
      <c r="O180" t="inlineStr" s="4">
        <is>
          <t>Integration</t>
        </is>
      </c>
      <c r="P180" t="inlineStr" s="4">
        <is>
          <t>Staging / QA</t>
        </is>
      </c>
      <c r="Q180" t="inlineStr" s="4">
        <is>
          <t>Chrome desktop + Android Chrome unless specified</t>
        </is>
      </c>
      <c r="R180" t="inlineStr" s="4">
        <is>
          <t>/api/*</t>
        </is>
      </c>
      <c r="S180" t="inlineStr" s="4">
        <is>
          <t>Yes</t>
        </is>
      </c>
      <c r="T180" t="inlineStr" s="4">
        <is>
          <t>Yes</t>
        </is>
      </c>
      <c r="U180" t="inlineStr" s="4">
        <is>
          <t>Codex QA Generator</t>
        </is>
      </c>
      <c r="V180" s="4"/>
      <c r="W180" s="4"/>
      <c r="X180" s="4"/>
      <c r="Y180" s="4"/>
    </row>
    <row r="181" ht="54" customHeight="1">
      <c r="A181" t="inlineStr" s="4">
        <is>
          <t>TC-API-025</t>
        </is>
      </c>
      <c r="B181" t="inlineStr" s="4">
        <is>
          <t>TS-API-001</t>
        </is>
      </c>
      <c r="C181" t="inlineStr" s="4">
        <is>
          <t>Mobile API</t>
        </is>
      </c>
      <c r="D181" t="inlineStr" s="4">
        <is>
          <t>Auth / Discovery / Booking / Scan / Profile</t>
        </is>
      </c>
      <c r="E181" t="inlineStr" s="4">
        <is>
          <t>Mobile error log redacts sensitive payload</t>
        </is>
      </c>
      <c r="F181" t="inlineStr" s="4">
        <is>
          <t>Mobile User</t>
        </is>
      </c>
      <c r="G181" t="inlineStr" s="4">
        <is>
          <t>Use QA API client with Sanctum token where required.</t>
        </is>
      </c>
      <c r="H181" t="inlineStr" s="4">
        <is>
          <t>POST /api/mobile/errors</t>
        </is>
      </c>
      <c r="I181" t="inlineStr" s="4">
        <is>
          <t>1. Send API request with specified headers/payload.
2. Inspect status code and JSON body.
3. For state-changing requests, verify resulting resource state and ownership boundaries.</t>
        </is>
      </c>
      <c r="J181" t="inlineStr" s="4">
        <is>
          <t>Error stored but token/password/cookie fields are redacted.</t>
        </is>
      </c>
      <c r="K181" s="4"/>
      <c r="L181" t="inlineStr" s="4">
        <is>
          <t>Not Run</t>
        </is>
      </c>
      <c r="M181" t="inlineStr" s="4">
        <is>
          <t>P1</t>
        </is>
      </c>
      <c r="N181" t="inlineStr" s="4">
        <is>
          <t>High</t>
        </is>
      </c>
      <c r="O181" t="inlineStr" s="4">
        <is>
          <t>Integration</t>
        </is>
      </c>
      <c r="P181" t="inlineStr" s="4">
        <is>
          <t>Staging / QA</t>
        </is>
      </c>
      <c r="Q181" t="inlineStr" s="4">
        <is>
          <t>Chrome desktop + Android Chrome unless specified</t>
        </is>
      </c>
      <c r="R181" t="inlineStr" s="4">
        <is>
          <t>/api/*</t>
        </is>
      </c>
      <c r="S181" t="inlineStr" s="4">
        <is>
          <t>Yes</t>
        </is>
      </c>
      <c r="T181" t="inlineStr" s="4">
        <is>
          <t>Yes</t>
        </is>
      </c>
      <c r="U181" t="inlineStr" s="4">
        <is>
          <t>Codex QA Generator</t>
        </is>
      </c>
      <c r="V181" s="4"/>
      <c r="W181" s="4"/>
      <c r="X181" s="4"/>
      <c r="Y181" s="4"/>
    </row>
    <row r="182" ht="54" customHeight="1">
      <c r="A182" t="inlineStr" s="4">
        <is>
          <t>TC-API-026</t>
        </is>
      </c>
      <c r="B182" t="inlineStr" s="4">
        <is>
          <t>TS-API-001</t>
        </is>
      </c>
      <c r="C182" t="inlineStr" s="4">
        <is>
          <t>Mobile API</t>
        </is>
      </c>
      <c r="D182" t="inlineStr" s="4">
        <is>
          <t>Auth / Discovery / Booking / Scan / Profile</t>
        </is>
      </c>
      <c r="E182" t="inlineStr" s="4">
        <is>
          <t>Public mobile home returns banner data</t>
        </is>
      </c>
      <c r="F182" t="inlineStr" s="4">
        <is>
          <t>Mobile User</t>
        </is>
      </c>
      <c r="G182" t="inlineStr" s="4">
        <is>
          <t>Use QA API client with Sanctum token where required.</t>
        </is>
      </c>
      <c r="H182" t="inlineStr" s="4">
        <is>
          <t>GET /api/mobile/home</t>
        </is>
      </c>
      <c r="I182" t="inlineStr" s="4">
        <is>
          <t>1. Send API request with specified headers/payload.
2. Inspect status code and JSON body.
3. For state-changing requests, verify resulting resource state and ownership boundaries.</t>
        </is>
      </c>
      <c r="J182" t="inlineStr" s="4">
        <is>
          <t>Payload includes mobile banner and public content without auth.</t>
        </is>
      </c>
      <c r="K182" s="4"/>
      <c r="L182" t="inlineStr" s="4">
        <is>
          <t>Not Run</t>
        </is>
      </c>
      <c r="M182" t="inlineStr" s="4">
        <is>
          <t>P1</t>
        </is>
      </c>
      <c r="N182" t="inlineStr" s="4">
        <is>
          <t>High</t>
        </is>
      </c>
      <c r="O182" t="inlineStr" s="4">
        <is>
          <t>Integration</t>
        </is>
      </c>
      <c r="P182" t="inlineStr" s="4">
        <is>
          <t>Staging / QA</t>
        </is>
      </c>
      <c r="Q182" t="inlineStr" s="4">
        <is>
          <t>Chrome desktop + Android Chrome unless specified</t>
        </is>
      </c>
      <c r="R182" t="inlineStr" s="4">
        <is>
          <t>/api/*</t>
        </is>
      </c>
      <c r="S182" t="inlineStr" s="4">
        <is>
          <t>Yes</t>
        </is>
      </c>
      <c r="T182" t="inlineStr" s="4">
        <is>
          <t>Yes</t>
        </is>
      </c>
      <c r="U182" t="inlineStr" s="4">
        <is>
          <t>Codex QA Generator</t>
        </is>
      </c>
      <c r="V182" s="4"/>
      <c r="W182" s="4"/>
      <c r="X182" s="4"/>
      <c r="Y182" s="4"/>
    </row>
    <row r="183" ht="54" customHeight="1">
      <c r="A183" t="inlineStr" s="4">
        <is>
          <t>TC-API-027</t>
        </is>
      </c>
      <c r="B183" t="inlineStr" s="4">
        <is>
          <t>TS-API-001</t>
        </is>
      </c>
      <c r="C183" t="inlineStr" s="4">
        <is>
          <t>Mobile API</t>
        </is>
      </c>
      <c r="D183" t="inlineStr" s="4">
        <is>
          <t>Auth / Discovery / Booking / Scan / Profile</t>
        </is>
      </c>
      <c r="E183" t="inlineStr" s="4">
        <is>
          <t>Public contact API returns contact content</t>
        </is>
      </c>
      <c r="F183" t="inlineStr" s="4">
        <is>
          <t>Mobile User</t>
        </is>
      </c>
      <c r="G183" t="inlineStr" s="4">
        <is>
          <t>Use QA API client with Sanctum token where required.</t>
        </is>
      </c>
      <c r="H183" t="inlineStr" s="4">
        <is>
          <t>GET /api/public/contact</t>
        </is>
      </c>
      <c r="I183" t="inlineStr" s="4">
        <is>
          <t>1. Send API request with specified headers/payload.
2. Inspect status code and JSON body.
3. For state-changing requests, verify resulting resource state and ownership boundaries.</t>
        </is>
      </c>
      <c r="J183" t="inlineStr" s="4">
        <is>
          <t>Address/social fields return public-safe values.</t>
        </is>
      </c>
      <c r="K183" s="4"/>
      <c r="L183" t="inlineStr" s="4">
        <is>
          <t>Not Run</t>
        </is>
      </c>
      <c r="M183" t="inlineStr" s="4">
        <is>
          <t>P1</t>
        </is>
      </c>
      <c r="N183" t="inlineStr" s="4">
        <is>
          <t>High</t>
        </is>
      </c>
      <c r="O183" t="inlineStr" s="4">
        <is>
          <t>Integration</t>
        </is>
      </c>
      <c r="P183" t="inlineStr" s="4">
        <is>
          <t>Staging / QA</t>
        </is>
      </c>
      <c r="Q183" t="inlineStr" s="4">
        <is>
          <t>Chrome desktop + Android Chrome unless specified</t>
        </is>
      </c>
      <c r="R183" t="inlineStr" s="4">
        <is>
          <t>/api/*</t>
        </is>
      </c>
      <c r="S183" t="inlineStr" s="4">
        <is>
          <t>Yes</t>
        </is>
      </c>
      <c r="T183" t="inlineStr" s="4">
        <is>
          <t>Yes</t>
        </is>
      </c>
      <c r="U183" t="inlineStr" s="4">
        <is>
          <t>Codex QA Generator</t>
        </is>
      </c>
      <c r="V183" s="4"/>
      <c r="W183" s="4"/>
      <c r="X183" s="4"/>
      <c r="Y183" s="4"/>
    </row>
    <row r="184" ht="54" customHeight="1">
      <c r="A184" t="inlineStr" s="4">
        <is>
          <t>TC-API-028</t>
        </is>
      </c>
      <c r="B184" t="inlineStr" s="4">
        <is>
          <t>TS-API-001</t>
        </is>
      </c>
      <c r="C184" t="inlineStr" s="4">
        <is>
          <t>Mobile API</t>
        </is>
      </c>
      <c r="D184" t="inlineStr" s="4">
        <is>
          <t>Auth / Discovery / Booking / Scan / Profile</t>
        </is>
      </c>
      <c r="E184" t="inlineStr" s="4">
        <is>
          <t>Chat API conversation ownership enforced</t>
        </is>
      </c>
      <c r="F184" t="inlineStr" s="4">
        <is>
          <t>Mobile User</t>
        </is>
      </c>
      <c r="G184" t="inlineStr" s="4">
        <is>
          <t>Use QA API client with Sanctum token where required.</t>
        </is>
      </c>
      <c r="H184" t="inlineStr" s="4">
        <is>
          <t>GET /api/chat/conversations/{id}</t>
        </is>
      </c>
      <c r="I184" t="inlineStr" s="4">
        <is>
          <t>1. Send API request with specified headers/payload.
2. Inspect status code and JSON body.
3. For state-changing requests, verify resulting resource state and ownership boundaries.</t>
        </is>
      </c>
      <c r="J184" t="inlineStr" s="4">
        <is>
          <t>User cannot read another user conversation.</t>
        </is>
      </c>
      <c r="K184" s="4"/>
      <c r="L184" t="inlineStr" s="4">
        <is>
          <t>Not Run</t>
        </is>
      </c>
      <c r="M184" t="inlineStr" s="4">
        <is>
          <t>P1</t>
        </is>
      </c>
      <c r="N184" t="inlineStr" s="4">
        <is>
          <t>High</t>
        </is>
      </c>
      <c r="O184" t="inlineStr" s="4">
        <is>
          <t>Integration</t>
        </is>
      </c>
      <c r="P184" t="inlineStr" s="4">
        <is>
          <t>Staging / QA</t>
        </is>
      </c>
      <c r="Q184" t="inlineStr" s="4">
        <is>
          <t>Chrome desktop + Android Chrome unless specified</t>
        </is>
      </c>
      <c r="R184" t="inlineStr" s="4">
        <is>
          <t>/api/*</t>
        </is>
      </c>
      <c r="S184" t="inlineStr" s="4">
        <is>
          <t>Yes</t>
        </is>
      </c>
      <c r="T184" t="inlineStr" s="4">
        <is>
          <t>Yes</t>
        </is>
      </c>
      <c r="U184" t="inlineStr" s="4">
        <is>
          <t>Codex QA Generator</t>
        </is>
      </c>
      <c r="V184" s="4"/>
      <c r="W184" s="4"/>
      <c r="X184" s="4"/>
      <c r="Y184" s="4"/>
    </row>
    <row r="185" ht="54" customHeight="1">
      <c r="A185" t="inlineStr" s="4">
        <is>
          <t>TC-SEC-001</t>
        </is>
      </c>
      <c r="B185" t="inlineStr" s="4">
        <is>
          <t>TS-SEC-001</t>
        </is>
      </c>
      <c r="C185" t="inlineStr" s="4">
        <is>
          <t>Security</t>
        </is>
      </c>
      <c r="D185" t="inlineStr" s="4">
        <is>
          <t>Access Control / Input Validation</t>
        </is>
      </c>
      <c r="E185" t="inlineStr" s="4">
        <is>
          <t>Guest cannot access admin dashboard</t>
        </is>
      </c>
      <c r="F185" t="inlineStr" s="4">
        <is>
          <t>All Roles</t>
        </is>
      </c>
      <c r="G185" t="inlineStr" s="4">
        <is>
          <t>Use QA accounts for guest, user, mitra, admin. Never run destructive payloads.</t>
        </is>
      </c>
      <c r="H185" t="inlineStr" s="4">
        <is>
          <t>GET /dashboard as guest</t>
        </is>
      </c>
      <c r="I185" t="inlineStr" s="4">
        <is>
          <t>1. Prepare role/session/payload.
2. Send request or submit form.
3. Verify status code, response content, logs, and data state.</t>
        </is>
      </c>
      <c r="J185" t="inlineStr" s="4">
        <is>
          <t>Redirect to login or deny; no admin data returned.</t>
        </is>
      </c>
      <c r="K185" s="4"/>
      <c r="L185" t="inlineStr" s="4">
        <is>
          <t>Not Run</t>
        </is>
      </c>
      <c r="M185" t="inlineStr" s="4">
        <is>
          <t>P0</t>
        </is>
      </c>
      <c r="N185" t="inlineStr" s="4">
        <is>
          <t>High</t>
        </is>
      </c>
      <c r="O185" t="inlineStr" s="4">
        <is>
          <t>Security</t>
        </is>
      </c>
      <c r="P185" t="inlineStr" s="4">
        <is>
          <t>Staging / QA</t>
        </is>
      </c>
      <c r="Q185" t="inlineStr" s="4">
        <is>
          <t>Chrome desktop + Android Chrome unless specified</t>
        </is>
      </c>
      <c r="R185" t="inlineStr" s="4">
        <is>
          <t>middleware/routes/controllers/tests</t>
        </is>
      </c>
      <c r="S185" t="inlineStr" s="4">
        <is>
          <t>Yes</t>
        </is>
      </c>
      <c r="T185" t="inlineStr" s="4">
        <is>
          <t>Yes</t>
        </is>
      </c>
      <c r="U185" t="inlineStr" s="4">
        <is>
          <t>Codex QA Generator</t>
        </is>
      </c>
      <c r="V185" s="4"/>
      <c r="W185" s="4"/>
      <c r="X185" s="4"/>
      <c r="Y185" s="4"/>
    </row>
    <row r="186" ht="54" customHeight="1">
      <c r="A186" t="inlineStr" s="4">
        <is>
          <t>TC-SEC-002</t>
        </is>
      </c>
      <c r="B186" t="inlineStr" s="4">
        <is>
          <t>TS-SEC-001</t>
        </is>
      </c>
      <c r="C186" t="inlineStr" s="4">
        <is>
          <t>Security</t>
        </is>
      </c>
      <c r="D186" t="inlineStr" s="4">
        <is>
          <t>Access Control / Input Validation</t>
        </is>
      </c>
      <c r="E186" t="inlineStr" s="4">
        <is>
          <t>User cannot access admin wisata routes</t>
        </is>
      </c>
      <c r="F186" t="inlineStr" s="4">
        <is>
          <t>All Roles</t>
        </is>
      </c>
      <c r="G186" t="inlineStr" s="4">
        <is>
          <t>Use QA accounts for guest, user, mitra, admin. Never run destructive payloads.</t>
        </is>
      </c>
      <c r="H186" t="inlineStr" s="4">
        <is>
          <t>GET /admin/wisata/destinations as user</t>
        </is>
      </c>
      <c r="I186" t="inlineStr" s="4">
        <is>
          <t>1. Prepare role/session/payload.
2. Send request or submit form.
3. Verify status code, response content, logs, and data state.</t>
        </is>
      </c>
      <c r="J186" t="inlineStr" s="4">
        <is>
          <t>403/redirect/404 according to middleware; no data returned.</t>
        </is>
      </c>
      <c r="K186" s="4"/>
      <c r="L186" t="inlineStr" s="4">
        <is>
          <t>Not Run</t>
        </is>
      </c>
      <c r="M186" t="inlineStr" s="4">
        <is>
          <t>P0</t>
        </is>
      </c>
      <c r="N186" t="inlineStr" s="4">
        <is>
          <t>Critical</t>
        </is>
      </c>
      <c r="O186" t="inlineStr" s="4">
        <is>
          <t>Security</t>
        </is>
      </c>
      <c r="P186" t="inlineStr" s="4">
        <is>
          <t>Staging / QA</t>
        </is>
      </c>
      <c r="Q186" t="inlineStr" s="4">
        <is>
          <t>Chrome desktop + Android Chrome unless specified</t>
        </is>
      </c>
      <c r="R186" t="inlineStr" s="4">
        <is>
          <t>middleware/routes/controllers/tests</t>
        </is>
      </c>
      <c r="S186" t="inlineStr" s="4">
        <is>
          <t>Yes</t>
        </is>
      </c>
      <c r="T186" t="inlineStr" s="4">
        <is>
          <t>Yes</t>
        </is>
      </c>
      <c r="U186" t="inlineStr" s="4">
        <is>
          <t>Codex QA Generator</t>
        </is>
      </c>
      <c r="V186" s="4"/>
      <c r="W186" s="4"/>
      <c r="X186" s="4"/>
      <c r="Y186" s="4"/>
    </row>
    <row r="187" ht="54" customHeight="1">
      <c r="A187" t="inlineStr" s="4">
        <is>
          <t>TC-SEC-003</t>
        </is>
      </c>
      <c r="B187" t="inlineStr" s="4">
        <is>
          <t>TS-SEC-001</t>
        </is>
      </c>
      <c r="C187" t="inlineStr" s="4">
        <is>
          <t>Security</t>
        </is>
      </c>
      <c r="D187" t="inlineStr" s="4">
        <is>
          <t>Access Control / Input Validation</t>
        </is>
      </c>
      <c r="E187" t="inlineStr" s="4">
        <is>
          <t>Mitra cannot access admin-only routes</t>
        </is>
      </c>
      <c r="F187" t="inlineStr" s="4">
        <is>
          <t>All Roles</t>
        </is>
      </c>
      <c r="G187" t="inlineStr" s="4">
        <is>
          <t>Use QA accounts for guest, user, mitra, admin. Never run destructive payloads.</t>
        </is>
      </c>
      <c r="H187" t="inlineStr" s="4">
        <is>
          <t>GET /admin/users as mitra</t>
        </is>
      </c>
      <c r="I187" t="inlineStr" s="4">
        <is>
          <t>1. Prepare role/session/payload.
2. Send request or submit form.
3. Verify status code, response content, logs, and data state.</t>
        </is>
      </c>
      <c r="J187" t="inlineStr" s="4">
        <is>
          <t>Access denied.</t>
        </is>
      </c>
      <c r="K187" s="4"/>
      <c r="L187" t="inlineStr" s="4">
        <is>
          <t>Not Run</t>
        </is>
      </c>
      <c r="M187" t="inlineStr" s="4">
        <is>
          <t>P0</t>
        </is>
      </c>
      <c r="N187" t="inlineStr" s="4">
        <is>
          <t>Critical</t>
        </is>
      </c>
      <c r="O187" t="inlineStr" s="4">
        <is>
          <t>Security</t>
        </is>
      </c>
      <c r="P187" t="inlineStr" s="4">
        <is>
          <t>Staging / QA</t>
        </is>
      </c>
      <c r="Q187" t="inlineStr" s="4">
        <is>
          <t>Chrome desktop + Android Chrome unless specified</t>
        </is>
      </c>
      <c r="R187" t="inlineStr" s="4">
        <is>
          <t>middleware/routes/controllers/tests</t>
        </is>
      </c>
      <c r="S187" t="inlineStr" s="4">
        <is>
          <t>Yes</t>
        </is>
      </c>
      <c r="T187" t="inlineStr" s="4">
        <is>
          <t>Yes</t>
        </is>
      </c>
      <c r="U187" t="inlineStr" s="4">
        <is>
          <t>Codex QA Generator</t>
        </is>
      </c>
      <c r="V187" s="4"/>
      <c r="W187" s="4"/>
      <c r="X187" s="4"/>
      <c r="Y187" s="4"/>
    </row>
    <row r="188" ht="54" customHeight="1">
      <c r="A188" t="inlineStr" s="4">
        <is>
          <t>TC-SEC-004</t>
        </is>
      </c>
      <c r="B188" t="inlineStr" s="4">
        <is>
          <t>TS-SEC-001</t>
        </is>
      </c>
      <c r="C188" t="inlineStr" s="4">
        <is>
          <t>Security</t>
        </is>
      </c>
      <c r="D188" t="inlineStr" s="4">
        <is>
          <t>Access Control / Input Validation</t>
        </is>
      </c>
      <c r="E188" t="inlineStr" s="4">
        <is>
          <t>Mitra cannot open retired hotel/event operational routes</t>
        </is>
      </c>
      <c r="F188" t="inlineStr" s="4">
        <is>
          <t>All Roles</t>
        </is>
      </c>
      <c r="G188" t="inlineStr" s="4">
        <is>
          <t>Use QA accounts for guest, user, mitra, admin. Never run destructive payloads.</t>
        </is>
      </c>
      <c r="H188" t="inlineStr" s="4">
        <is>
          <t>GET /mitra/events or /mitra/hotels</t>
        </is>
      </c>
      <c r="I188" t="inlineStr" s="4">
        <is>
          <t>1. Prepare role/session/payload.
2. Send request or submit form.
3. Verify status code, response content, logs, and data state.</t>
        </is>
      </c>
      <c r="J188" t="inlineStr" s="4">
        <is>
          <t>404 via retired feature block.</t>
        </is>
      </c>
      <c r="K188" s="4"/>
      <c r="L188" t="inlineStr" s="4">
        <is>
          <t>Not Run</t>
        </is>
      </c>
      <c r="M188" t="inlineStr" s="4">
        <is>
          <t>P1</t>
        </is>
      </c>
      <c r="N188" t="inlineStr" s="4">
        <is>
          <t>High</t>
        </is>
      </c>
      <c r="O188" t="inlineStr" s="4">
        <is>
          <t>Security</t>
        </is>
      </c>
      <c r="P188" t="inlineStr" s="4">
        <is>
          <t>Staging / QA</t>
        </is>
      </c>
      <c r="Q188" t="inlineStr" s="4">
        <is>
          <t>Chrome desktop + Android Chrome unless specified</t>
        </is>
      </c>
      <c r="R188" t="inlineStr" s="4">
        <is>
          <t>middleware/routes/controllers/tests</t>
        </is>
      </c>
      <c r="S188" t="inlineStr" s="4">
        <is>
          <t>Yes</t>
        </is>
      </c>
      <c r="T188" t="inlineStr" s="4">
        <is>
          <t>Yes</t>
        </is>
      </c>
      <c r="U188" t="inlineStr" s="4">
        <is>
          <t>Codex QA Generator</t>
        </is>
      </c>
      <c r="V188" s="4"/>
      <c r="W188" s="4"/>
      <c r="X188" s="4"/>
      <c r="Y188" s="4"/>
    </row>
    <row r="189" ht="54" customHeight="1">
      <c r="A189" t="inlineStr" s="4">
        <is>
          <t>TC-SEC-005</t>
        </is>
      </c>
      <c r="B189" t="inlineStr" s="4">
        <is>
          <t>TS-SEC-001</t>
        </is>
      </c>
      <c r="C189" t="inlineStr" s="4">
        <is>
          <t>Security</t>
        </is>
      </c>
      <c r="D189" t="inlineStr" s="4">
        <is>
          <t>Access Control / Input Validation</t>
        </is>
      </c>
      <c r="E189" t="inlineStr" s="4">
        <is>
          <t>Retired public product routes are blocked</t>
        </is>
      </c>
      <c r="F189" t="inlineStr" s="4">
        <is>
          <t>All Roles</t>
        </is>
      </c>
      <c r="G189" t="inlineStr" s="4">
        <is>
          <t>Use QA accounts for guest, user, mitra, admin. Never run destructive payloads.</t>
        </is>
      </c>
      <c r="H189" t="inlineStr" s="4">
        <is>
          <t>GET /events, /hotels, /academy, /retail-shop</t>
        </is>
      </c>
      <c r="I189" t="inlineStr" s="4">
        <is>
          <t>1. Prepare role/session/payload.
2. Send request or submit form.
3. Verify status code, response content, logs, and data state.</t>
        </is>
      </c>
      <c r="J189" t="inlineStr" s="4">
        <is>
          <t>404 or retired behavior, not active product listing.</t>
        </is>
      </c>
      <c r="K189" s="4"/>
      <c r="L189" t="inlineStr" s="4">
        <is>
          <t>Not Run</t>
        </is>
      </c>
      <c r="M189" t="inlineStr" s="4">
        <is>
          <t>P1</t>
        </is>
      </c>
      <c r="N189" t="inlineStr" s="4">
        <is>
          <t>High</t>
        </is>
      </c>
      <c r="O189" t="inlineStr" s="4">
        <is>
          <t>Security</t>
        </is>
      </c>
      <c r="P189" t="inlineStr" s="4">
        <is>
          <t>Staging / QA</t>
        </is>
      </c>
      <c r="Q189" t="inlineStr" s="4">
        <is>
          <t>Chrome desktop + Android Chrome unless specified</t>
        </is>
      </c>
      <c r="R189" t="inlineStr" s="4">
        <is>
          <t>middleware/routes/controllers/tests</t>
        </is>
      </c>
      <c r="S189" t="inlineStr" s="4">
        <is>
          <t>Yes</t>
        </is>
      </c>
      <c r="T189" t="inlineStr" s="4">
        <is>
          <t>Yes</t>
        </is>
      </c>
      <c r="U189" t="inlineStr" s="4">
        <is>
          <t>Codex QA Generator</t>
        </is>
      </c>
      <c r="V189" s="4"/>
      <c r="W189" s="4"/>
      <c r="X189" s="4"/>
      <c r="Y189" s="4"/>
    </row>
    <row r="190" ht="54" customHeight="1">
      <c r="A190" t="inlineStr" s="4">
        <is>
          <t>TC-SEC-006</t>
        </is>
      </c>
      <c r="B190" t="inlineStr" s="4">
        <is>
          <t>TS-SEC-001</t>
        </is>
      </c>
      <c r="C190" t="inlineStr" s="4">
        <is>
          <t>Security</t>
        </is>
      </c>
      <c r="D190" t="inlineStr" s="4">
        <is>
          <t>Access Control / Input Validation</t>
        </is>
      </c>
      <c r="E190" t="inlineStr" s="4">
        <is>
          <t>CSRF blocks state-changing web request without token</t>
        </is>
      </c>
      <c r="F190" t="inlineStr" s="4">
        <is>
          <t>All Roles</t>
        </is>
      </c>
      <c r="G190" t="inlineStr" s="4">
        <is>
          <t>Use QA accounts for guest, user, mitra, admin. Never run destructive payloads.</t>
        </is>
      </c>
      <c r="H190" t="inlineStr" s="4">
        <is>
          <t>POST admin/public/home without CSRF</t>
        </is>
      </c>
      <c r="I190" t="inlineStr" s="4">
        <is>
          <t>1. Prepare role/session/payload.
2. Send request or submit form.
3. Verify status code, response content, logs, and data state.</t>
        </is>
      </c>
      <c r="J190" t="inlineStr" s="4">
        <is>
          <t>Request rejected with CSRF/session protection.</t>
        </is>
      </c>
      <c r="K190" s="4"/>
      <c r="L190" t="inlineStr" s="4">
        <is>
          <t>Not Run</t>
        </is>
      </c>
      <c r="M190" t="inlineStr" s="4">
        <is>
          <t>P1</t>
        </is>
      </c>
      <c r="N190" t="inlineStr" s="4">
        <is>
          <t>High</t>
        </is>
      </c>
      <c r="O190" t="inlineStr" s="4">
        <is>
          <t>Security</t>
        </is>
      </c>
      <c r="P190" t="inlineStr" s="4">
        <is>
          <t>Staging / QA</t>
        </is>
      </c>
      <c r="Q190" t="inlineStr" s="4">
        <is>
          <t>Chrome desktop + Android Chrome unless specified</t>
        </is>
      </c>
      <c r="R190" t="inlineStr" s="4">
        <is>
          <t>middleware/routes/controllers/tests</t>
        </is>
      </c>
      <c r="S190" t="inlineStr" s="4">
        <is>
          <t>Yes</t>
        </is>
      </c>
      <c r="T190" t="inlineStr" s="4">
        <is>
          <t>Yes</t>
        </is>
      </c>
      <c r="U190" t="inlineStr" s="4">
        <is>
          <t>Codex QA Generator</t>
        </is>
      </c>
      <c r="V190" s="4"/>
      <c r="W190" s="4"/>
      <c r="X190" s="4"/>
      <c r="Y190" s="4"/>
    </row>
    <row r="191" ht="54" customHeight="1">
      <c r="A191" t="inlineStr" s="4">
        <is>
          <t>TC-SEC-007</t>
        </is>
      </c>
      <c r="B191" t="inlineStr" s="4">
        <is>
          <t>TS-SEC-001</t>
        </is>
      </c>
      <c r="C191" t="inlineStr" s="4">
        <is>
          <t>Security</t>
        </is>
      </c>
      <c r="D191" t="inlineStr" s="4">
        <is>
          <t>Access Control / Input Validation</t>
        </is>
      </c>
      <c r="E191" t="inlineStr" s="4">
        <is>
          <t>XSS payload is escaped/sanitized in rich content</t>
        </is>
      </c>
      <c r="F191" t="inlineStr" s="4">
        <is>
          <t>All Roles</t>
        </is>
      </c>
      <c r="G191" t="inlineStr" s="4">
        <is>
          <t>Use QA accounts for guest, user, mitra, admin. Never run destructive payloads.</t>
        </is>
      </c>
      <c r="H191" t="inlineStr" s="4">
        <is>
          <t>&lt;script&gt;alert(1)&lt;/script&gt; in editable content</t>
        </is>
      </c>
      <c r="I191" t="inlineStr" s="4">
        <is>
          <t>1. Prepare role/session/payload.
2. Send request or submit form.
3. Verify status code, response content, logs, and data state.</t>
        </is>
      </c>
      <c r="J191" t="inlineStr" s="4">
        <is>
          <t>Script is removed/escaped and not executable on public page.</t>
        </is>
      </c>
      <c r="K191" s="4"/>
      <c r="L191" t="inlineStr" s="4">
        <is>
          <t>Not Run</t>
        </is>
      </c>
      <c r="M191" t="inlineStr" s="4">
        <is>
          <t>P1</t>
        </is>
      </c>
      <c r="N191" t="inlineStr" s="4">
        <is>
          <t>High</t>
        </is>
      </c>
      <c r="O191" t="inlineStr" s="4">
        <is>
          <t>Security</t>
        </is>
      </c>
      <c r="P191" t="inlineStr" s="4">
        <is>
          <t>Staging / QA</t>
        </is>
      </c>
      <c r="Q191" t="inlineStr" s="4">
        <is>
          <t>Chrome desktop + Android Chrome unless specified</t>
        </is>
      </c>
      <c r="R191" t="inlineStr" s="4">
        <is>
          <t>middleware/routes/controllers/tests</t>
        </is>
      </c>
      <c r="S191" t="inlineStr" s="4">
        <is>
          <t>Yes</t>
        </is>
      </c>
      <c r="T191" t="inlineStr" s="4">
        <is>
          <t>Yes</t>
        </is>
      </c>
      <c r="U191" t="inlineStr" s="4">
        <is>
          <t>Codex QA Generator</t>
        </is>
      </c>
      <c r="V191" s="4"/>
      <c r="W191" s="4"/>
      <c r="X191" s="4"/>
      <c r="Y191" s="4"/>
    </row>
    <row r="192" ht="54" customHeight="1">
      <c r="A192" t="inlineStr" s="4">
        <is>
          <t>TC-SEC-008</t>
        </is>
      </c>
      <c r="B192" t="inlineStr" s="4">
        <is>
          <t>TS-SEC-001</t>
        </is>
      </c>
      <c r="C192" t="inlineStr" s="4">
        <is>
          <t>Security</t>
        </is>
      </c>
      <c r="D192" t="inlineStr" s="4">
        <is>
          <t>Access Control / Input Validation</t>
        </is>
      </c>
      <c r="E192" t="inlineStr" s="4">
        <is>
          <t>SQL injection string in search is handled safely</t>
        </is>
      </c>
      <c r="F192" t="inlineStr" s="4">
        <is>
          <t>All Roles</t>
        </is>
      </c>
      <c r="G192" t="inlineStr" s="4">
        <is>
          <t>Use QA accounts for guest, user, mitra, admin. Never run destructive payloads.</t>
        </is>
      </c>
      <c r="H192" t="inlineStr" s="4">
        <is>
          <t>q=%' OR 1=1 --</t>
        </is>
      </c>
      <c r="I192" t="inlineStr" s="4">
        <is>
          <t>1. Prepare role/session/payload.
2. Send request or submit form.
3. Verify status code, response content, logs, and data state.</t>
        </is>
      </c>
      <c r="J192" t="inlineStr" s="4">
        <is>
          <t>No SQL error; results remain scoped.</t>
        </is>
      </c>
      <c r="K192" s="4"/>
      <c r="L192" t="inlineStr" s="4">
        <is>
          <t>Not Run</t>
        </is>
      </c>
      <c r="M192" t="inlineStr" s="4">
        <is>
          <t>P1</t>
        </is>
      </c>
      <c r="N192" t="inlineStr" s="4">
        <is>
          <t>High</t>
        </is>
      </c>
      <c r="O192" t="inlineStr" s="4">
        <is>
          <t>Security</t>
        </is>
      </c>
      <c r="P192" t="inlineStr" s="4">
        <is>
          <t>Staging / QA</t>
        </is>
      </c>
      <c r="Q192" t="inlineStr" s="4">
        <is>
          <t>Chrome desktop + Android Chrome unless specified</t>
        </is>
      </c>
      <c r="R192" t="inlineStr" s="4">
        <is>
          <t>middleware/routes/controllers/tests</t>
        </is>
      </c>
      <c r="S192" t="inlineStr" s="4">
        <is>
          <t>Yes</t>
        </is>
      </c>
      <c r="T192" t="inlineStr" s="4">
        <is>
          <t>Yes</t>
        </is>
      </c>
      <c r="U192" t="inlineStr" s="4">
        <is>
          <t>Codex QA Generator</t>
        </is>
      </c>
      <c r="V192" s="4"/>
      <c r="W192" s="4"/>
      <c r="X192" s="4"/>
      <c r="Y192" s="4"/>
    </row>
    <row r="193" ht="54" customHeight="1">
      <c r="A193" t="inlineStr" s="4">
        <is>
          <t>TC-SEC-009</t>
        </is>
      </c>
      <c r="B193" t="inlineStr" s="4">
        <is>
          <t>TS-SEC-001</t>
        </is>
      </c>
      <c r="C193" t="inlineStr" s="4">
        <is>
          <t>Security</t>
        </is>
      </c>
      <c r="D193" t="inlineStr" s="4">
        <is>
          <t>Access Control / Input Validation</t>
        </is>
      </c>
      <c r="E193" t="inlineStr" s="4">
        <is>
          <t>File upload rejects executable disguised as image</t>
        </is>
      </c>
      <c r="F193" t="inlineStr" s="4">
        <is>
          <t>All Roles</t>
        </is>
      </c>
      <c r="G193" t="inlineStr" s="4">
        <is>
          <t>Use QA accounts for guest, user, mitra, admin. Never run destructive payloads.</t>
        </is>
      </c>
      <c r="H193" t="inlineStr" s="4">
        <is>
          <t>malware.php.jpg or invalid MIME</t>
        </is>
      </c>
      <c r="I193" t="inlineStr" s="4">
        <is>
          <t>1. Prepare role/session/payload.
2. Send request or submit form.
3. Verify status code, response content, logs, and data state.</t>
        </is>
      </c>
      <c r="J193" t="inlineStr" s="4">
        <is>
          <t>Upload validation rejects or stores safely outside executable path.</t>
        </is>
      </c>
      <c r="K193" s="4"/>
      <c r="L193" t="inlineStr" s="4">
        <is>
          <t>Not Run</t>
        </is>
      </c>
      <c r="M193" t="inlineStr" s="4">
        <is>
          <t>P1</t>
        </is>
      </c>
      <c r="N193" t="inlineStr" s="4">
        <is>
          <t>High</t>
        </is>
      </c>
      <c r="O193" t="inlineStr" s="4">
        <is>
          <t>Security</t>
        </is>
      </c>
      <c r="P193" t="inlineStr" s="4">
        <is>
          <t>Staging / QA</t>
        </is>
      </c>
      <c r="Q193" t="inlineStr" s="4">
        <is>
          <t>Chrome desktop + Android Chrome unless specified</t>
        </is>
      </c>
      <c r="R193" t="inlineStr" s="4">
        <is>
          <t>middleware/routes/controllers/tests</t>
        </is>
      </c>
      <c r="S193" t="inlineStr" s="4">
        <is>
          <t>Yes</t>
        </is>
      </c>
      <c r="T193" t="inlineStr" s="4">
        <is>
          <t>Yes</t>
        </is>
      </c>
      <c r="U193" t="inlineStr" s="4">
        <is>
          <t>Codex QA Generator</t>
        </is>
      </c>
      <c r="V193" s="4"/>
      <c r="W193" s="4"/>
      <c r="X193" s="4"/>
      <c r="Y193" s="4"/>
    </row>
    <row r="194" ht="54" customHeight="1">
      <c r="A194" t="inlineStr" s="4">
        <is>
          <t>TC-SEC-010</t>
        </is>
      </c>
      <c r="B194" t="inlineStr" s="4">
        <is>
          <t>TS-SEC-001</t>
        </is>
      </c>
      <c r="C194" t="inlineStr" s="4">
        <is>
          <t>Security</t>
        </is>
      </c>
      <c r="D194" t="inlineStr" s="4">
        <is>
          <t>Access Control / Input Validation</t>
        </is>
      </c>
      <c r="E194" t="inlineStr" s="4">
        <is>
          <t>Mass assignment cannot set owner/status fields</t>
        </is>
      </c>
      <c r="F194" t="inlineStr" s="4">
        <is>
          <t>All Roles</t>
        </is>
      </c>
      <c r="G194" t="inlineStr" s="4">
        <is>
          <t>Use QA accounts for guest, user, mitra, admin. Never run destructive payloads.</t>
        </is>
      </c>
      <c r="H194" t="inlineStr" s="4">
        <is>
          <t>mitra_id/owner_id/is_admin in request payload</t>
        </is>
      </c>
      <c r="I194" t="inlineStr" s="4">
        <is>
          <t>1. Prepare role/session/payload.
2. Send request or submit form.
3. Verify status code, response content, logs, and data state.</t>
        </is>
      </c>
      <c r="J194" t="inlineStr" s="4">
        <is>
          <t>Sensitive fields ignored or rejected.</t>
        </is>
      </c>
      <c r="K194" s="4"/>
      <c r="L194" t="inlineStr" s="4">
        <is>
          <t>Not Run</t>
        </is>
      </c>
      <c r="M194" t="inlineStr" s="4">
        <is>
          <t>P0</t>
        </is>
      </c>
      <c r="N194" t="inlineStr" s="4">
        <is>
          <t>Critical</t>
        </is>
      </c>
      <c r="O194" t="inlineStr" s="4">
        <is>
          <t>Security</t>
        </is>
      </c>
      <c r="P194" t="inlineStr" s="4">
        <is>
          <t>Staging / QA</t>
        </is>
      </c>
      <c r="Q194" t="inlineStr" s="4">
        <is>
          <t>Chrome desktop + Android Chrome unless specified</t>
        </is>
      </c>
      <c r="R194" t="inlineStr" s="4">
        <is>
          <t>middleware/routes/controllers/tests</t>
        </is>
      </c>
      <c r="S194" t="inlineStr" s="4">
        <is>
          <t>Yes</t>
        </is>
      </c>
      <c r="T194" t="inlineStr" s="4">
        <is>
          <t>Yes</t>
        </is>
      </c>
      <c r="U194" t="inlineStr" s="4">
        <is>
          <t>Codex QA Generator</t>
        </is>
      </c>
      <c r="V194" s="4"/>
      <c r="W194" s="4"/>
      <c r="X194" s="4"/>
      <c r="Y194" s="4"/>
    </row>
    <row r="195" ht="54" customHeight="1">
      <c r="A195" t="inlineStr" s="4">
        <is>
          <t>TC-SEC-011</t>
        </is>
      </c>
      <c r="B195" t="inlineStr" s="4">
        <is>
          <t>TS-SEC-001</t>
        </is>
      </c>
      <c r="C195" t="inlineStr" s="4">
        <is>
          <t>Security</t>
        </is>
      </c>
      <c r="D195" t="inlineStr" s="4">
        <is>
          <t>Access Control / Input Validation</t>
        </is>
      </c>
      <c r="E195" t="inlineStr" s="4">
        <is>
          <t>Admin audit log redacts password/token fields</t>
        </is>
      </c>
      <c r="F195" t="inlineStr" s="4">
        <is>
          <t>All Roles</t>
        </is>
      </c>
      <c r="G195" t="inlineStr" s="4">
        <is>
          <t>Use QA accounts for guest, user, mitra, admin. Never run destructive payloads.</t>
        </is>
      </c>
      <c r="H195" t="inlineStr" s="4">
        <is>
          <t>Payload with password/token</t>
        </is>
      </c>
      <c r="I195" t="inlineStr" s="4">
        <is>
          <t>1. Prepare role/session/payload.
2. Send request or submit form.
3. Verify status code, response content, logs, and data state.</t>
        </is>
      </c>
      <c r="J195" t="inlineStr" s="4">
        <is>
          <t>Log UI/API does not expose sensitive values.</t>
        </is>
      </c>
      <c r="K195" s="4"/>
      <c r="L195" t="inlineStr" s="4">
        <is>
          <t>Not Run</t>
        </is>
      </c>
      <c r="M195" t="inlineStr" s="4">
        <is>
          <t>P1</t>
        </is>
      </c>
      <c r="N195" t="inlineStr" s="4">
        <is>
          <t>High</t>
        </is>
      </c>
      <c r="O195" t="inlineStr" s="4">
        <is>
          <t>Security</t>
        </is>
      </c>
      <c r="P195" t="inlineStr" s="4">
        <is>
          <t>Staging / QA</t>
        </is>
      </c>
      <c r="Q195" t="inlineStr" s="4">
        <is>
          <t>Chrome desktop + Android Chrome unless specified</t>
        </is>
      </c>
      <c r="R195" t="inlineStr" s="4">
        <is>
          <t>middleware/routes/controllers/tests</t>
        </is>
      </c>
      <c r="S195" t="inlineStr" s="4">
        <is>
          <t>Yes</t>
        </is>
      </c>
      <c r="T195" t="inlineStr" s="4">
        <is>
          <t>Yes</t>
        </is>
      </c>
      <c r="U195" t="inlineStr" s="4">
        <is>
          <t>Codex QA Generator</t>
        </is>
      </c>
      <c r="V195" s="4"/>
      <c r="W195" s="4"/>
      <c r="X195" s="4"/>
      <c r="Y195" s="4"/>
    </row>
    <row r="196" ht="54" customHeight="1">
      <c r="A196" t="inlineStr" s="4">
        <is>
          <t>TC-SEC-012</t>
        </is>
      </c>
      <c r="B196" t="inlineStr" s="4">
        <is>
          <t>TS-SEC-001</t>
        </is>
      </c>
      <c r="C196" t="inlineStr" s="4">
        <is>
          <t>Security</t>
        </is>
      </c>
      <c r="D196" t="inlineStr" s="4">
        <is>
          <t>Access Control / Input Validation</t>
        </is>
      </c>
      <c r="E196" t="inlineStr" s="4">
        <is>
          <t>Public cache bypasses authenticated responses</t>
        </is>
      </c>
      <c r="F196" t="inlineStr" s="4">
        <is>
          <t>All Roles</t>
        </is>
      </c>
      <c r="G196" t="inlineStr" s="4">
        <is>
          <t>Use QA accounts for guest, user, mitra, admin. Never run destructive payloads.</t>
        </is>
      </c>
      <c r="H196" t="inlineStr" s="4">
        <is>
          <t>Authorization header on public API request</t>
        </is>
      </c>
      <c r="I196" t="inlineStr" s="4">
        <is>
          <t>1. Prepare role/session/payload.
2. Send request or submit form.
3. Verify status code, response content, logs, and data state.</t>
        </is>
      </c>
      <c r="J196" t="inlineStr" s="4">
        <is>
          <t>Private/authenticated data is not cached into public response.</t>
        </is>
      </c>
      <c r="K196" s="4"/>
      <c r="L196" t="inlineStr" s="4">
        <is>
          <t>Not Run</t>
        </is>
      </c>
      <c r="M196" t="inlineStr" s="4">
        <is>
          <t>P1</t>
        </is>
      </c>
      <c r="N196" t="inlineStr" s="4">
        <is>
          <t>High</t>
        </is>
      </c>
      <c r="O196" t="inlineStr" s="4">
        <is>
          <t>Security</t>
        </is>
      </c>
      <c r="P196" t="inlineStr" s="4">
        <is>
          <t>Staging / QA</t>
        </is>
      </c>
      <c r="Q196" t="inlineStr" s="4">
        <is>
          <t>Chrome desktop + Android Chrome unless specified</t>
        </is>
      </c>
      <c r="R196" t="inlineStr" s="4">
        <is>
          <t>middleware/routes/controllers/tests</t>
        </is>
      </c>
      <c r="S196" t="inlineStr" s="4">
        <is>
          <t>Yes</t>
        </is>
      </c>
      <c r="T196" t="inlineStr" s="4">
        <is>
          <t>Yes</t>
        </is>
      </c>
      <c r="U196" t="inlineStr" s="4">
        <is>
          <t>Codex QA Generator</t>
        </is>
      </c>
      <c r="V196" s="4"/>
      <c r="W196" s="4"/>
      <c r="X196" s="4"/>
      <c r="Y196" s="4"/>
    </row>
    <row r="197" ht="54" customHeight="1">
      <c r="A197" t="inlineStr" s="4">
        <is>
          <t>TC-RETIRE-001</t>
        </is>
      </c>
      <c r="B197" t="inlineStr" s="4">
        <is>
          <t>TS-RETIRE-001</t>
        </is>
      </c>
      <c r="C197" t="inlineStr" s="4">
        <is>
          <t>Retired/Partial Modules</t>
        </is>
      </c>
      <c r="D197" t="inlineStr" s="4">
        <is>
          <t>Legacy Surface</t>
        </is>
      </c>
      <c r="E197" t="inlineStr" s="4">
        <is>
          <t>Legacy route behavior for /admin/events</t>
        </is>
      </c>
      <c r="F197" t="inlineStr" s="4">
        <is>
          <t>Admin</t>
        </is>
      </c>
      <c r="G197" t="inlineStr" s="4">
        <is>
          <t>Use role indicated in test data.</t>
        </is>
      </c>
      <c r="H197" t="inlineStr" s="4">
        <is>
          <t>/admin/events</t>
        </is>
      </c>
      <c r="I197" t="inlineStr" s="4">
        <is>
          <t>1. Open/call /admin/events.
2. Observe status and page content.
3. Confirm active wisata routes still work afterwards.</t>
        </is>
      </c>
      <c r="J197" t="inlineStr" s="4">
        <is>
          <t>404/blocked because admin event surface is retired from active scope.</t>
        </is>
      </c>
      <c r="K197" s="4"/>
      <c r="L197" t="inlineStr" s="4">
        <is>
          <t>Not Run</t>
        </is>
      </c>
      <c r="M197" t="inlineStr" s="4">
        <is>
          <t>P2</t>
        </is>
      </c>
      <c r="N197" t="inlineStr" s="4">
        <is>
          <t>Medium</t>
        </is>
      </c>
      <c r="O197" t="inlineStr" s="4">
        <is>
          <t>Regression</t>
        </is>
      </c>
      <c r="P197" t="inlineStr" s="4">
        <is>
          <t>Staging / QA</t>
        </is>
      </c>
      <c r="Q197" t="inlineStr" s="4">
        <is>
          <t>Chrome desktop + Android Chrome unless specified</t>
        </is>
      </c>
      <c r="R197" t="inlineStr" s="4">
        <is>
          <t>/admin/events</t>
        </is>
      </c>
      <c r="S197" t="inlineStr" s="4">
        <is>
          <t>Maybe</t>
        </is>
      </c>
      <c r="T197" t="inlineStr" s="4">
        <is>
          <t>Yes</t>
        </is>
      </c>
      <c r="U197" t="inlineStr" s="4">
        <is>
          <t>Codex QA Generator</t>
        </is>
      </c>
      <c r="V197" s="4"/>
      <c r="W197" s="4"/>
      <c r="X197" s="4"/>
      <c r="Y197" t="inlineStr" s="4">
        <is>
          <t>Marked partial/needs verification where business decision may change.</t>
        </is>
      </c>
    </row>
    <row r="198" ht="54" customHeight="1">
      <c r="A198" t="inlineStr" s="4">
        <is>
          <t>TC-RETIRE-002</t>
        </is>
      </c>
      <c r="B198" t="inlineStr" s="4">
        <is>
          <t>TS-RETIRE-001</t>
        </is>
      </c>
      <c r="C198" t="inlineStr" s="4">
        <is>
          <t>Retired/Partial Modules</t>
        </is>
      </c>
      <c r="D198" t="inlineStr" s="4">
        <is>
          <t>Legacy Surface</t>
        </is>
      </c>
      <c r="E198" t="inlineStr" s="4">
        <is>
          <t>Legacy route behavior for /admin/academy/classes</t>
        </is>
      </c>
      <c r="F198" t="inlineStr" s="4">
        <is>
          <t>Admin</t>
        </is>
      </c>
      <c r="G198" t="inlineStr" s="4">
        <is>
          <t>Use role indicated in test data.</t>
        </is>
      </c>
      <c r="H198" t="inlineStr" s="4">
        <is>
          <t>/admin/academy/classes</t>
        </is>
      </c>
      <c r="I198" t="inlineStr" s="4">
        <is>
          <t>1. Open/call /admin/academy/classes.
2. Observe status and page content.
3. Confirm active wisata routes still work afterwards.</t>
        </is>
      </c>
      <c r="J198" t="inlineStr" s="4">
        <is>
          <t>404/blocked because academy surface is retired from active scope.</t>
        </is>
      </c>
      <c r="K198" s="4"/>
      <c r="L198" t="inlineStr" s="4">
        <is>
          <t>Not Run</t>
        </is>
      </c>
      <c r="M198" t="inlineStr" s="4">
        <is>
          <t>P2</t>
        </is>
      </c>
      <c r="N198" t="inlineStr" s="4">
        <is>
          <t>Medium</t>
        </is>
      </c>
      <c r="O198" t="inlineStr" s="4">
        <is>
          <t>Regression</t>
        </is>
      </c>
      <c r="P198" t="inlineStr" s="4">
        <is>
          <t>Staging / QA</t>
        </is>
      </c>
      <c r="Q198" t="inlineStr" s="4">
        <is>
          <t>Chrome desktop + Android Chrome unless specified</t>
        </is>
      </c>
      <c r="R198" t="inlineStr" s="4">
        <is>
          <t>/admin/academy/classes</t>
        </is>
      </c>
      <c r="S198" t="inlineStr" s="4">
        <is>
          <t>Maybe</t>
        </is>
      </c>
      <c r="T198" t="inlineStr" s="4">
        <is>
          <t>Yes</t>
        </is>
      </c>
      <c r="U198" t="inlineStr" s="4">
        <is>
          <t>Codex QA Generator</t>
        </is>
      </c>
      <c r="V198" s="4"/>
      <c r="W198" s="4"/>
      <c r="X198" s="4"/>
      <c r="Y198" t="inlineStr" s="4">
        <is>
          <t>Marked partial/needs verification where business decision may change.</t>
        </is>
      </c>
    </row>
    <row r="199" ht="54" customHeight="1">
      <c r="A199" t="inlineStr" s="4">
        <is>
          <t>TC-RETIRE-003</t>
        </is>
      </c>
      <c r="B199" t="inlineStr" s="4">
        <is>
          <t>TS-RETIRE-001</t>
        </is>
      </c>
      <c r="C199" t="inlineStr" s="4">
        <is>
          <t>Retired/Partial Modules</t>
        </is>
      </c>
      <c r="D199" t="inlineStr" s="4">
        <is>
          <t>Legacy Surface</t>
        </is>
      </c>
      <c r="E199" t="inlineStr" s="4">
        <is>
          <t>Legacy route behavior for /admin/retail-shop/products</t>
        </is>
      </c>
      <c r="F199" t="inlineStr" s="4">
        <is>
          <t>Admin</t>
        </is>
      </c>
      <c r="G199" t="inlineStr" s="4">
        <is>
          <t>Use role indicated in test data.</t>
        </is>
      </c>
      <c r="H199" t="inlineStr" s="4">
        <is>
          <t>/admin/retail-shop/products</t>
        </is>
      </c>
      <c r="I199" t="inlineStr" s="4">
        <is>
          <t>1. Open/call /admin/retail-shop/products.
2. Observe status and page content.
3. Confirm active wisata routes still work afterwards.</t>
        </is>
      </c>
      <c r="J199" t="inlineStr" s="4">
        <is>
          <t>404/blocked because retail surface is retired from active scope.</t>
        </is>
      </c>
      <c r="K199" s="4"/>
      <c r="L199" t="inlineStr" s="4">
        <is>
          <t>Not Run</t>
        </is>
      </c>
      <c r="M199" t="inlineStr" s="4">
        <is>
          <t>P2</t>
        </is>
      </c>
      <c r="N199" t="inlineStr" s="4">
        <is>
          <t>Medium</t>
        </is>
      </c>
      <c r="O199" t="inlineStr" s="4">
        <is>
          <t>Regression</t>
        </is>
      </c>
      <c r="P199" t="inlineStr" s="4">
        <is>
          <t>Staging / QA</t>
        </is>
      </c>
      <c r="Q199" t="inlineStr" s="4">
        <is>
          <t>Chrome desktop + Android Chrome unless specified</t>
        </is>
      </c>
      <c r="R199" t="inlineStr" s="4">
        <is>
          <t>/admin/retail-shop/products</t>
        </is>
      </c>
      <c r="S199" t="inlineStr" s="4">
        <is>
          <t>Maybe</t>
        </is>
      </c>
      <c r="T199" t="inlineStr" s="4">
        <is>
          <t>Yes</t>
        </is>
      </c>
      <c r="U199" t="inlineStr" s="4">
        <is>
          <t>Codex QA Generator</t>
        </is>
      </c>
      <c r="V199" s="4"/>
      <c r="W199" s="4"/>
      <c r="X199" s="4"/>
      <c r="Y199" t="inlineStr" s="4">
        <is>
          <t>Marked partial/needs verification where business decision may change.</t>
        </is>
      </c>
    </row>
    <row r="200" ht="54" customHeight="1">
      <c r="A200" t="inlineStr" s="4">
        <is>
          <t>TC-RETIRE-004</t>
        </is>
      </c>
      <c r="B200" t="inlineStr" s="4">
        <is>
          <t>TS-RETIRE-001</t>
        </is>
      </c>
      <c r="C200" t="inlineStr" s="4">
        <is>
          <t>Retired/Partial Modules</t>
        </is>
      </c>
      <c r="D200" t="inlineStr" s="4">
        <is>
          <t>Legacy Surface</t>
        </is>
      </c>
      <c r="E200" t="inlineStr" s="4">
        <is>
          <t>Legacy route behavior for /hotels</t>
        </is>
      </c>
      <c r="F200" t="inlineStr" s="4">
        <is>
          <t>Guest</t>
        </is>
      </c>
      <c r="G200" t="inlineStr" s="4">
        <is>
          <t>Use role indicated in test data.</t>
        </is>
      </c>
      <c r="H200" t="inlineStr" s="4">
        <is>
          <t>/hotels</t>
        </is>
      </c>
      <c r="I200" t="inlineStr" s="4">
        <is>
          <t>1. Open/call /hotels.
2. Observe status and page content.
3. Confirm active wisata routes still work afterwards.</t>
        </is>
      </c>
      <c r="J200" t="inlineStr" s="4">
        <is>
          <t>404/blocked from active public product surface.</t>
        </is>
      </c>
      <c r="K200" s="4"/>
      <c r="L200" t="inlineStr" s="4">
        <is>
          <t>Not Run</t>
        </is>
      </c>
      <c r="M200" t="inlineStr" s="4">
        <is>
          <t>P2</t>
        </is>
      </c>
      <c r="N200" t="inlineStr" s="4">
        <is>
          <t>Medium</t>
        </is>
      </c>
      <c r="O200" t="inlineStr" s="4">
        <is>
          <t>Regression</t>
        </is>
      </c>
      <c r="P200" t="inlineStr" s="4">
        <is>
          <t>Staging / QA</t>
        </is>
      </c>
      <c r="Q200" t="inlineStr" s="4">
        <is>
          <t>Chrome desktop + Android Chrome unless specified</t>
        </is>
      </c>
      <c r="R200" t="inlineStr" s="4">
        <is>
          <t>/hotels</t>
        </is>
      </c>
      <c r="S200" t="inlineStr" s="4">
        <is>
          <t>Maybe</t>
        </is>
      </c>
      <c r="T200" t="inlineStr" s="4">
        <is>
          <t>Yes</t>
        </is>
      </c>
      <c r="U200" t="inlineStr" s="4">
        <is>
          <t>Codex QA Generator</t>
        </is>
      </c>
      <c r="V200" s="4"/>
      <c r="W200" s="4"/>
      <c r="X200" s="4"/>
      <c r="Y200" t="inlineStr" s="4">
        <is>
          <t>Marked partial/needs verification where business decision may change.</t>
        </is>
      </c>
    </row>
    <row r="201" ht="54" customHeight="1">
      <c r="A201" t="inlineStr" s="4">
        <is>
          <t>TC-RETIRE-005</t>
        </is>
      </c>
      <c r="B201" t="inlineStr" s="4">
        <is>
          <t>TS-RETIRE-001</t>
        </is>
      </c>
      <c r="C201" t="inlineStr" s="4">
        <is>
          <t>Retired/Partial Modules</t>
        </is>
      </c>
      <c r="D201" t="inlineStr" s="4">
        <is>
          <t>Legacy Surface</t>
        </is>
      </c>
      <c r="E201" t="inlineStr" s="4">
        <is>
          <t>Legacy route behavior for /api/hotel/bookings/quote</t>
        </is>
      </c>
      <c r="F201" t="inlineStr" s="4">
        <is>
          <t>Mobile User</t>
        </is>
      </c>
      <c r="G201" t="inlineStr" s="4">
        <is>
          <t>Use role indicated in test data.</t>
        </is>
      </c>
      <c r="H201" t="inlineStr" s="4">
        <is>
          <t>/api/hotel/bookings/quote</t>
        </is>
      </c>
      <c r="I201" t="inlineStr" s="4">
        <is>
          <t>1. Open/call /api/hotel/bookings/quote.
2. Observe status and page content.
3. Confirm active wisata routes still work afterwards.</t>
        </is>
      </c>
      <c r="J201" t="inlineStr" s="4">
        <is>
          <t>404/blocked retired API surface.</t>
        </is>
      </c>
      <c r="K201" s="4"/>
      <c r="L201" t="inlineStr" s="4">
        <is>
          <t>Not Run</t>
        </is>
      </c>
      <c r="M201" t="inlineStr" s="4">
        <is>
          <t>P2</t>
        </is>
      </c>
      <c r="N201" t="inlineStr" s="4">
        <is>
          <t>Medium</t>
        </is>
      </c>
      <c r="O201" t="inlineStr" s="4">
        <is>
          <t>Regression</t>
        </is>
      </c>
      <c r="P201" t="inlineStr" s="4">
        <is>
          <t>Staging / QA</t>
        </is>
      </c>
      <c r="Q201" t="inlineStr" s="4">
        <is>
          <t>Chrome desktop + Android Chrome unless specified</t>
        </is>
      </c>
      <c r="R201" t="inlineStr" s="4">
        <is>
          <t>/api/hotel/bookings/quote</t>
        </is>
      </c>
      <c r="S201" t="inlineStr" s="4">
        <is>
          <t>Maybe</t>
        </is>
      </c>
      <c r="T201" t="inlineStr" s="4">
        <is>
          <t>Yes</t>
        </is>
      </c>
      <c r="U201" t="inlineStr" s="4">
        <is>
          <t>Codex QA Generator</t>
        </is>
      </c>
      <c r="V201" s="4"/>
      <c r="W201" s="4"/>
      <c r="X201" s="4"/>
      <c r="Y201" t="inlineStr" s="4">
        <is>
          <t>Marked partial/needs verification where business decision may change.</t>
        </is>
      </c>
    </row>
    <row r="202" ht="54" customHeight="1">
      <c r="A202" t="inlineStr" s="4">
        <is>
          <t>TC-RETIRE-006</t>
        </is>
      </c>
      <c r="B202" t="inlineStr" s="4">
        <is>
          <t>TS-RETIRE-001</t>
        </is>
      </c>
      <c r="C202" t="inlineStr" s="4">
        <is>
          <t>Retired/Partial Modules</t>
        </is>
      </c>
      <c r="D202" t="inlineStr" s="4">
        <is>
          <t>Legacy Surface</t>
        </is>
      </c>
      <c r="E202" t="inlineStr" s="4">
        <is>
          <t>Legacy route behavior for /affiliate</t>
        </is>
      </c>
      <c r="F202" t="inlineStr" s="4">
        <is>
          <t>Guest/User</t>
        </is>
      </c>
      <c r="G202" t="inlineStr" s="4">
        <is>
          <t>Use role indicated in test data.</t>
        </is>
      </c>
      <c r="H202" t="inlineStr" s="4">
        <is>
          <t>/affiliate</t>
        </is>
      </c>
      <c r="I202" t="inlineStr" s="4">
        <is>
          <t>1. Open/call /affiliate.
2. Observe status and page content.
3. Confirm active wisata routes still work afterwards.</t>
        </is>
      </c>
      <c r="J202" t="inlineStr" s="4">
        <is>
          <t>Needs verification: affiliate pages exist but mobile affiliate APIs are retired; access should follow current business decision.</t>
        </is>
      </c>
      <c r="K202" s="4"/>
      <c r="L202" t="inlineStr" s="4">
        <is>
          <t>Not Run</t>
        </is>
      </c>
      <c r="M202" t="inlineStr" s="4">
        <is>
          <t>P2</t>
        </is>
      </c>
      <c r="N202" t="inlineStr" s="4">
        <is>
          <t>Medium</t>
        </is>
      </c>
      <c r="O202" t="inlineStr" s="4">
        <is>
          <t>Regression</t>
        </is>
      </c>
      <c r="P202" t="inlineStr" s="4">
        <is>
          <t>Staging / QA</t>
        </is>
      </c>
      <c r="Q202" t="inlineStr" s="4">
        <is>
          <t>Chrome desktop + Android Chrome unless specified</t>
        </is>
      </c>
      <c r="R202" t="inlineStr" s="4">
        <is>
          <t>/affiliate</t>
        </is>
      </c>
      <c r="S202" t="inlineStr" s="4">
        <is>
          <t>Maybe</t>
        </is>
      </c>
      <c r="T202" t="inlineStr" s="4">
        <is>
          <t>Yes</t>
        </is>
      </c>
      <c r="U202" t="inlineStr" s="4">
        <is>
          <t>Codex QA Generator</t>
        </is>
      </c>
      <c r="V202" s="4"/>
      <c r="W202" s="4"/>
      <c r="X202" s="4"/>
      <c r="Y202" t="inlineStr" s="4">
        <is>
          <t>Marked partial/needs verification where business decision may change.</t>
        </is>
      </c>
    </row>
    <row r="203" ht="54" customHeight="1">
      <c r="A203" t="inlineStr" s="4">
        <is>
          <t>TC-ADMIN-SYSTEM-001</t>
        </is>
      </c>
      <c r="B203" t="inlineStr" s="4">
        <is>
          <t>TS-ADMIN-SYSTEM-001</t>
        </is>
      </c>
      <c r="C203" t="inlineStr" s="4">
        <is>
          <t>Admin System</t>
        </is>
      </c>
      <c r="D203" t="inlineStr" s="4">
        <is>
          <t>Users / Notifications / Settings / Reset</t>
        </is>
      </c>
      <c r="E203" t="inlineStr" s="4">
        <is>
          <t>Create user from admin requires verified email defaults</t>
        </is>
      </c>
      <c r="F203" t="inlineStr" s="4">
        <is>
          <t>Admin</t>
        </is>
      </c>
      <c r="G203" t="inlineStr" s="4">
        <is>
          <t>Admin is authenticated. Use QA database only for destructive reset tests.</t>
        </is>
      </c>
      <c r="H203" t="inlineStr" s="4">
        <is>
          <t>Valid user data</t>
        </is>
      </c>
      <c r="I203" t="inlineStr" s="4">
        <is>
          <t>1. Login as admin.
2. Open admin system/user page.
3. Submit specified payload/action.
4. Verify validation, status, and data safety.</t>
        </is>
      </c>
      <c r="J203" t="inlineStr" s="4">
        <is>
          <t>User is created with verified email where controller expects it.</t>
        </is>
      </c>
      <c r="K203" s="4"/>
      <c r="L203" t="inlineStr" s="4">
        <is>
          <t>Not Run</t>
        </is>
      </c>
      <c r="M203" t="inlineStr" s="4">
        <is>
          <t>P1</t>
        </is>
      </c>
      <c r="N203" t="inlineStr" s="4">
        <is>
          <t>High</t>
        </is>
      </c>
      <c r="O203" t="inlineStr" s="4">
        <is>
          <t>Functional</t>
        </is>
      </c>
      <c r="P203" t="inlineStr" s="4">
        <is>
          <t>Staging / QA</t>
        </is>
      </c>
      <c r="Q203" t="inlineStr" s="4">
        <is>
          <t>Chrome desktop + Android Chrome unless specified</t>
        </is>
      </c>
      <c r="R203" t="inlineStr" s="4">
        <is>
          <t>/admin/users, /admin/system/*</t>
        </is>
      </c>
      <c r="S203" t="inlineStr" s="4">
        <is>
          <t>Maybe</t>
        </is>
      </c>
      <c r="T203" t="inlineStr" s="4">
        <is>
          <t>Yes</t>
        </is>
      </c>
      <c r="U203" t="inlineStr" s="4">
        <is>
          <t>Codex QA Generator</t>
        </is>
      </c>
      <c r="V203" s="4"/>
      <c r="W203" s="4"/>
      <c r="X203" s="4"/>
      <c r="Y203" s="4"/>
    </row>
    <row r="204" ht="54" customHeight="1">
      <c r="A204" t="inlineStr" s="4">
        <is>
          <t>TC-ADMIN-SYSTEM-002</t>
        </is>
      </c>
      <c r="B204" t="inlineStr" s="4">
        <is>
          <t>TS-ADMIN-SYSTEM-001</t>
        </is>
      </c>
      <c r="C204" t="inlineStr" s="4">
        <is>
          <t>Admin System</t>
        </is>
      </c>
      <c r="D204" t="inlineStr" s="4">
        <is>
          <t>Users / Notifications / Settings / Reset</t>
        </is>
      </c>
      <c r="E204" t="inlineStr" s="4">
        <is>
          <t>Update user cannot modify admin accounts through user management</t>
        </is>
      </c>
      <c r="F204" t="inlineStr" s="4">
        <is>
          <t>Admin</t>
        </is>
      </c>
      <c r="G204" t="inlineStr" s="4">
        <is>
          <t>Admin is authenticated. Use QA database only for destructive reset tests.</t>
        </is>
      </c>
      <c r="H204" t="inlineStr" s="4">
        <is>
          <t>Admin target user</t>
        </is>
      </c>
      <c r="I204" t="inlineStr" s="4">
        <is>
          <t>1. Login as admin.
2. Open admin system/user page.
3. Submit specified payload/action.
4. Verify validation, status, and data safety.</t>
        </is>
      </c>
      <c r="J204" t="inlineStr" s="4">
        <is>
          <t>Update is rejected/protected.</t>
        </is>
      </c>
      <c r="K204" s="4"/>
      <c r="L204" t="inlineStr" s="4">
        <is>
          <t>Not Run</t>
        </is>
      </c>
      <c r="M204" t="inlineStr" s="4">
        <is>
          <t>P1</t>
        </is>
      </c>
      <c r="N204" t="inlineStr" s="4">
        <is>
          <t>High</t>
        </is>
      </c>
      <c r="O204" t="inlineStr" s="4">
        <is>
          <t>Functional</t>
        </is>
      </c>
      <c r="P204" t="inlineStr" s="4">
        <is>
          <t>Staging / QA</t>
        </is>
      </c>
      <c r="Q204" t="inlineStr" s="4">
        <is>
          <t>Chrome desktop + Android Chrome unless specified</t>
        </is>
      </c>
      <c r="R204" t="inlineStr" s="4">
        <is>
          <t>/admin/users, /admin/system/*</t>
        </is>
      </c>
      <c r="S204" t="inlineStr" s="4">
        <is>
          <t>Maybe</t>
        </is>
      </c>
      <c r="T204" t="inlineStr" s="4">
        <is>
          <t>Yes</t>
        </is>
      </c>
      <c r="U204" t="inlineStr" s="4">
        <is>
          <t>Codex QA Generator</t>
        </is>
      </c>
      <c r="V204" s="4"/>
      <c r="W204" s="4"/>
      <c r="X204" s="4"/>
      <c r="Y204" s="4"/>
    </row>
    <row r="205" ht="54" customHeight="1">
      <c r="A205" t="inlineStr" s="4">
        <is>
          <t>TC-ADMIN-SYSTEM-003</t>
        </is>
      </c>
      <c r="B205" t="inlineStr" s="4">
        <is>
          <t>TS-ADMIN-SYSTEM-001</t>
        </is>
      </c>
      <c r="C205" t="inlineStr" s="4">
        <is>
          <t>Admin System</t>
        </is>
      </c>
      <c r="D205" t="inlineStr" s="4">
        <is>
          <t>Users / Notifications / Settings / Reset</t>
        </is>
      </c>
      <c r="E205" t="inlineStr" s="4">
        <is>
          <t>Delete user removes related operational data but protects admins</t>
        </is>
      </c>
      <c r="F205" t="inlineStr" s="4">
        <is>
          <t>Admin</t>
        </is>
      </c>
      <c r="G205" t="inlineStr" s="4">
        <is>
          <t>Admin is authenticated. Use QA database only for destructive reset tests.</t>
        </is>
      </c>
      <c r="H205" t="inlineStr" s="4">
        <is>
          <t>Normal user and admin user</t>
        </is>
      </c>
      <c r="I205" t="inlineStr" s="4">
        <is>
          <t>1. Login as admin.
2. Open admin system/user page.
3. Submit specified payload/action.
4. Verify validation, status, and data safety.</t>
        </is>
      </c>
      <c r="J205" t="inlineStr" s="4">
        <is>
          <t>Normal user deletion cleans related data; admin deletion blocked.</t>
        </is>
      </c>
      <c r="K205" s="4"/>
      <c r="L205" t="inlineStr" s="4">
        <is>
          <t>Not Run</t>
        </is>
      </c>
      <c r="M205" t="inlineStr" s="4">
        <is>
          <t>P1</t>
        </is>
      </c>
      <c r="N205" t="inlineStr" s="4">
        <is>
          <t>High</t>
        </is>
      </c>
      <c r="O205" t="inlineStr" s="4">
        <is>
          <t>Functional</t>
        </is>
      </c>
      <c r="P205" t="inlineStr" s="4">
        <is>
          <t>Staging / QA</t>
        </is>
      </c>
      <c r="Q205" t="inlineStr" s="4">
        <is>
          <t>Chrome desktop + Android Chrome unless specified</t>
        </is>
      </c>
      <c r="R205" t="inlineStr" s="4">
        <is>
          <t>/admin/users, /admin/system/*</t>
        </is>
      </c>
      <c r="S205" t="inlineStr" s="4">
        <is>
          <t>Maybe</t>
        </is>
      </c>
      <c r="T205" t="inlineStr" s="4">
        <is>
          <t>Yes</t>
        </is>
      </c>
      <c r="U205" t="inlineStr" s="4">
        <is>
          <t>Codex QA Generator</t>
        </is>
      </c>
      <c r="V205" s="4"/>
      <c r="W205" s="4"/>
      <c r="X205" s="4"/>
      <c r="Y205" s="4"/>
    </row>
    <row r="206" ht="54" customHeight="1">
      <c r="A206" t="inlineStr" s="4">
        <is>
          <t>TC-ADMIN-SYSTEM-004</t>
        </is>
      </c>
      <c r="B206" t="inlineStr" s="4">
        <is>
          <t>TS-ADMIN-SYSTEM-001</t>
        </is>
      </c>
      <c r="C206" t="inlineStr" s="4">
        <is>
          <t>Admin System</t>
        </is>
      </c>
      <c r="D206" t="inlineStr" s="4">
        <is>
          <t>Users / Notifications / Settings / Reset</t>
        </is>
      </c>
      <c r="E206" t="inlineStr" s="4">
        <is>
          <t>Broadcast notification validates title/message/target</t>
        </is>
      </c>
      <c r="F206" t="inlineStr" s="4">
        <is>
          <t>Admin</t>
        </is>
      </c>
      <c r="G206" t="inlineStr" s="4">
        <is>
          <t>Admin is authenticated. Use QA database only for destructive reset tests.</t>
        </is>
      </c>
      <c r="H206" t="inlineStr" s="4">
        <is>
          <t>Valid and invalid broadcast payload</t>
        </is>
      </c>
      <c r="I206" t="inlineStr" s="4">
        <is>
          <t>1. Login as admin.
2. Open admin system/user page.
3. Submit specified payload/action.
4. Verify validation, status, and data safety.</t>
        </is>
      </c>
      <c r="J206" t="inlineStr" s="4">
        <is>
          <t>Valid notification created; invalid payload rejected.</t>
        </is>
      </c>
      <c r="K206" s="4"/>
      <c r="L206" t="inlineStr" s="4">
        <is>
          <t>Not Run</t>
        </is>
      </c>
      <c r="M206" t="inlineStr" s="4">
        <is>
          <t>P1</t>
        </is>
      </c>
      <c r="N206" t="inlineStr" s="4">
        <is>
          <t>High</t>
        </is>
      </c>
      <c r="O206" t="inlineStr" s="4">
        <is>
          <t>Functional</t>
        </is>
      </c>
      <c r="P206" t="inlineStr" s="4">
        <is>
          <t>Staging / QA</t>
        </is>
      </c>
      <c r="Q206" t="inlineStr" s="4">
        <is>
          <t>Chrome desktop + Android Chrome unless specified</t>
        </is>
      </c>
      <c r="R206" t="inlineStr" s="4">
        <is>
          <t>/admin/users, /admin/system/*</t>
        </is>
      </c>
      <c r="S206" t="inlineStr" s="4">
        <is>
          <t>Maybe</t>
        </is>
      </c>
      <c r="T206" t="inlineStr" s="4">
        <is>
          <t>Yes</t>
        </is>
      </c>
      <c r="U206" t="inlineStr" s="4">
        <is>
          <t>Codex QA Generator</t>
        </is>
      </c>
      <c r="V206" s="4"/>
      <c r="W206" s="4"/>
      <c r="X206" s="4"/>
      <c r="Y206" s="4"/>
    </row>
    <row r="207" ht="54" customHeight="1">
      <c r="A207" t="inlineStr" s="4">
        <is>
          <t>TC-ADMIN-SYSTEM-005</t>
        </is>
      </c>
      <c r="B207" t="inlineStr" s="4">
        <is>
          <t>TS-ADMIN-SYSTEM-001</t>
        </is>
      </c>
      <c r="C207" t="inlineStr" s="4">
        <is>
          <t>Admin System</t>
        </is>
      </c>
      <c r="D207" t="inlineStr" s="4">
        <is>
          <t>Users / Notifications / Settings / Reset</t>
        </is>
      </c>
      <c r="E207" t="inlineStr" s="4">
        <is>
          <t>System settings update booking timeout for wisata</t>
        </is>
      </c>
      <c r="F207" t="inlineStr" s="4">
        <is>
          <t>Admin</t>
        </is>
      </c>
      <c r="G207" t="inlineStr" s="4">
        <is>
          <t>Admin is authenticated. Use QA database only for destructive reset tests.</t>
        </is>
      </c>
      <c r="H207" t="inlineStr" s="4">
        <is>
          <t>Valid timeout numbers</t>
        </is>
      </c>
      <c r="I207" t="inlineStr" s="4">
        <is>
          <t>1. Login as admin.
2. Open admin system/user page.
3. Submit specified payload/action.
4. Verify validation, status, and data safety.</t>
        </is>
      </c>
      <c r="J207" t="inlineStr" s="4">
        <is>
          <t>Wisata timeout persists; retired product keys behavior follows current code.</t>
        </is>
      </c>
      <c r="K207" s="4"/>
      <c r="L207" t="inlineStr" s="4">
        <is>
          <t>Not Run</t>
        </is>
      </c>
      <c r="M207" t="inlineStr" s="4">
        <is>
          <t>P1</t>
        </is>
      </c>
      <c r="N207" t="inlineStr" s="4">
        <is>
          <t>High</t>
        </is>
      </c>
      <c r="O207" t="inlineStr" s="4">
        <is>
          <t>Functional</t>
        </is>
      </c>
      <c r="P207" t="inlineStr" s="4">
        <is>
          <t>Staging / QA</t>
        </is>
      </c>
      <c r="Q207" t="inlineStr" s="4">
        <is>
          <t>Chrome desktop + Android Chrome unless specified</t>
        </is>
      </c>
      <c r="R207" t="inlineStr" s="4">
        <is>
          <t>/admin/users, /admin/system/*</t>
        </is>
      </c>
      <c r="S207" t="inlineStr" s="4">
        <is>
          <t>Maybe</t>
        </is>
      </c>
      <c r="T207" t="inlineStr" s="4">
        <is>
          <t>Yes</t>
        </is>
      </c>
      <c r="U207" t="inlineStr" s="4">
        <is>
          <t>Codex QA Generator</t>
        </is>
      </c>
      <c r="V207" s="4"/>
      <c r="W207" s="4"/>
      <c r="X207" s="4"/>
      <c r="Y207" s="4"/>
    </row>
    <row r="208" ht="54" customHeight="1">
      <c r="A208" t="inlineStr" s="4">
        <is>
          <t>TC-ADMIN-SYSTEM-006</t>
        </is>
      </c>
      <c r="B208" t="inlineStr" s="4">
        <is>
          <t>TS-ADMIN-SYSTEM-001</t>
        </is>
      </c>
      <c r="C208" t="inlineStr" s="4">
        <is>
          <t>Admin System</t>
        </is>
      </c>
      <c r="D208" t="inlineStr" s="4">
        <is>
          <t>Users / Notifications / Settings / Reset</t>
        </is>
      </c>
      <c r="E208" t="inlineStr" s="4">
        <is>
          <t>System reset requires exact confirmation text</t>
        </is>
      </c>
      <c r="F208" t="inlineStr" s="4">
        <is>
          <t>Admin</t>
        </is>
      </c>
      <c r="G208" t="inlineStr" s="4">
        <is>
          <t>Admin is authenticated. Use QA database only for destructive reset tests.</t>
        </is>
      </c>
      <c r="H208" t="inlineStr" s="4">
        <is>
          <t>Wrong confirmation</t>
        </is>
      </c>
      <c r="I208" t="inlineStr" s="4">
        <is>
          <t>1. Login as admin.
2. Open admin system/user page.
3. Submit specified payload/action.
4. Verify validation, status, and data safety.</t>
        </is>
      </c>
      <c r="J208" t="inlineStr" s="4">
        <is>
          <t>Reset rejected and no data deleted.</t>
        </is>
      </c>
      <c r="K208" s="4"/>
      <c r="L208" t="inlineStr" s="4">
        <is>
          <t>Not Run</t>
        </is>
      </c>
      <c r="M208" t="inlineStr" s="4">
        <is>
          <t>P0</t>
        </is>
      </c>
      <c r="N208" t="inlineStr" s="4">
        <is>
          <t>Critical</t>
        </is>
      </c>
      <c r="O208" t="inlineStr" s="4">
        <is>
          <t>Functional</t>
        </is>
      </c>
      <c r="P208" t="inlineStr" s="4">
        <is>
          <t>Staging / QA</t>
        </is>
      </c>
      <c r="Q208" t="inlineStr" s="4">
        <is>
          <t>Chrome desktop + Android Chrome unless specified</t>
        </is>
      </c>
      <c r="R208" t="inlineStr" s="4">
        <is>
          <t>/admin/users, /admin/system/*</t>
        </is>
      </c>
      <c r="S208" t="inlineStr" s="4">
        <is>
          <t>Maybe</t>
        </is>
      </c>
      <c r="T208" t="inlineStr" s="4">
        <is>
          <t>Yes</t>
        </is>
      </c>
      <c r="U208" t="inlineStr" s="4">
        <is>
          <t>Codex QA Generator</t>
        </is>
      </c>
      <c r="V208" s="4"/>
      <c r="W208" s="4"/>
      <c r="X208" s="4"/>
      <c r="Y208" s="4"/>
    </row>
    <row r="209" ht="54" customHeight="1">
      <c r="A209" t="inlineStr" s="4">
        <is>
          <t>TC-ADMIN-SYSTEM-007</t>
        </is>
      </c>
      <c r="B209" t="inlineStr" s="4">
        <is>
          <t>TS-ADMIN-SYSTEM-001</t>
        </is>
      </c>
      <c r="C209" t="inlineStr" s="4">
        <is>
          <t>Admin System</t>
        </is>
      </c>
      <c r="D209" t="inlineStr" s="4">
        <is>
          <t>Users / Notifications / Settings / Reset</t>
        </is>
      </c>
      <c r="E209" t="inlineStr" s="4">
        <is>
          <t>System reset selected sections preserve admin accounts</t>
        </is>
      </c>
      <c r="F209" t="inlineStr" s="4">
        <is>
          <t>Admin</t>
        </is>
      </c>
      <c r="G209" t="inlineStr" s="4">
        <is>
          <t>Admin is authenticated. Use QA database only for destructive reset tests.</t>
        </is>
      </c>
      <c r="H209" t="inlineStr" s="4">
        <is>
          <t>Selected operational sections</t>
        </is>
      </c>
      <c r="I209" t="inlineStr" s="4">
        <is>
          <t>1. Login as admin.
2. Open admin system/user page.
3. Submit specified payload/action.
4. Verify validation, status, and data safety.</t>
        </is>
      </c>
      <c r="J209" t="inlineStr" s="4">
        <is>
          <t>Operational data reset safely, admin accounts preserved.</t>
        </is>
      </c>
      <c r="K209" s="4"/>
      <c r="L209" t="inlineStr" s="4">
        <is>
          <t>Not Run</t>
        </is>
      </c>
      <c r="M209" t="inlineStr" s="4">
        <is>
          <t>P0</t>
        </is>
      </c>
      <c r="N209" t="inlineStr" s="4">
        <is>
          <t>Critical</t>
        </is>
      </c>
      <c r="O209" t="inlineStr" s="4">
        <is>
          <t>Functional</t>
        </is>
      </c>
      <c r="P209" t="inlineStr" s="4">
        <is>
          <t>Staging / QA</t>
        </is>
      </c>
      <c r="Q209" t="inlineStr" s="4">
        <is>
          <t>Chrome desktop + Android Chrome unless specified</t>
        </is>
      </c>
      <c r="R209" t="inlineStr" s="4">
        <is>
          <t>/admin/users, /admin/system/*</t>
        </is>
      </c>
      <c r="S209" t="inlineStr" s="4">
        <is>
          <t>Maybe</t>
        </is>
      </c>
      <c r="T209" t="inlineStr" s="4">
        <is>
          <t>Yes</t>
        </is>
      </c>
      <c r="U209" t="inlineStr" s="4">
        <is>
          <t>Codex QA Generator</t>
        </is>
      </c>
      <c r="V209" s="4"/>
      <c r="W209" s="4"/>
      <c r="X209" s="4"/>
      <c r="Y209" s="4"/>
    </row>
    <row r="210" ht="54" customHeight="1">
      <c r="A210" t="inlineStr" s="4">
        <is>
          <t>TC-ADMIN-SYSTEM-008</t>
        </is>
      </c>
      <c r="B210" t="inlineStr" s="4">
        <is>
          <t>TS-ADMIN-SYSTEM-001</t>
        </is>
      </c>
      <c r="C210" t="inlineStr" s="4">
        <is>
          <t>Admin System</t>
        </is>
      </c>
      <c r="D210" t="inlineStr" s="4">
        <is>
          <t>Users / Notifications / Settings / Reset</t>
        </is>
      </c>
      <c r="E210" t="inlineStr" s="4">
        <is>
          <t>Audit logs filters by actor/action/date</t>
        </is>
      </c>
      <c r="F210" t="inlineStr" s="4">
        <is>
          <t>Admin</t>
        </is>
      </c>
      <c r="G210" t="inlineStr" s="4">
        <is>
          <t>Admin is authenticated. Use QA database only for destructive reset tests.</t>
        </is>
      </c>
      <c r="H210" t="inlineStr" s="4">
        <is>
          <t>Filter criteria</t>
        </is>
      </c>
      <c r="I210" t="inlineStr" s="4">
        <is>
          <t>1. Login as admin.
2. Open admin system/user page.
3. Submit specified payload/action.
4. Verify validation, status, and data safety.</t>
        </is>
      </c>
      <c r="J210" t="inlineStr" s="4">
        <is>
          <t>Audit log list narrows to matching records.</t>
        </is>
      </c>
      <c r="K210" s="4"/>
      <c r="L210" t="inlineStr" s="4">
        <is>
          <t>Not Run</t>
        </is>
      </c>
      <c r="M210" t="inlineStr" s="4">
        <is>
          <t>P1</t>
        </is>
      </c>
      <c r="N210" t="inlineStr" s="4">
        <is>
          <t>High</t>
        </is>
      </c>
      <c r="O210" t="inlineStr" s="4">
        <is>
          <t>Functional</t>
        </is>
      </c>
      <c r="P210" t="inlineStr" s="4">
        <is>
          <t>Staging / QA</t>
        </is>
      </c>
      <c r="Q210" t="inlineStr" s="4">
        <is>
          <t>Chrome desktop + Android Chrome unless specified</t>
        </is>
      </c>
      <c r="R210" t="inlineStr" s="4">
        <is>
          <t>/admin/users, /admin/system/*</t>
        </is>
      </c>
      <c r="S210" t="inlineStr" s="4">
        <is>
          <t>Maybe</t>
        </is>
      </c>
      <c r="T210" t="inlineStr" s="4">
        <is>
          <t>Yes</t>
        </is>
      </c>
      <c r="U210" t="inlineStr" s="4">
        <is>
          <t>Codex QA Generator</t>
        </is>
      </c>
      <c r="V210" s="4"/>
      <c r="W210" s="4"/>
      <c r="X210" s="4"/>
      <c r="Y210" s="4"/>
    </row>
  </sheetData>
  <autoFilter ref="A1:Y210"/>
  <conditionalFormatting sqref="L2:L1000">
    <cfRule type="containsText" priority="1" operator="containsText" text="Passed" dxfId="0">
      <formula>NOT(ISERROR(SEARCH("Passed",L2)))</formula>
    </cfRule>
    <cfRule type="containsText" priority="2" operator="containsText" text="Failed" dxfId="1">
      <formula>NOT(ISERROR(SEARCH("Failed",L2)))</formula>
    </cfRule>
    <cfRule type="containsText" priority="3" operator="containsText" text="Blocked" dxfId="2">
      <formula>NOT(ISERROR(SEARCH("Blocked",L2)))</formula>
    </cfRule>
    <cfRule type="containsText" priority="4" operator="containsText" text="Retest" dxfId="3">
      <formula>NOT(ISERROR(SEARCH("Retest",L2)))</formula>
    </cfRule>
    <cfRule type="containsText" priority="5" operator="containsText" text="Not Run" dxfId="4">
      <formula>NOT(ISERROR(SEARCH("Not Run",L2)))</formula>
    </cfRule>
  </conditionalFormatting>
  <conditionalFormatting sqref="M2:M1000">
    <cfRule type="containsText" priority="6" operator="containsText" text="P0" dxfId="5">
      <formula>NOT(ISERROR(SEARCH("P0",M2)))</formula>
    </cfRule>
    <cfRule type="containsText" priority="7" operator="containsText" text="P1" dxfId="6">
      <formula>NOT(ISERROR(SEARCH("P1",M2)))</formula>
    </cfRule>
    <cfRule type="containsText" priority="8" operator="containsText" text="P2" dxfId="7">
      <formula>NOT(ISERROR(SEARCH("P2",M2)))</formula>
    </cfRule>
    <cfRule type="containsText" priority="9" operator="containsText" text="P3" dxfId="8">
      <formula>NOT(ISERROR(SEARCH("P3",M2)))</formula>
    </cfRule>
  </conditionalFormatting>
  <conditionalFormatting sqref="N2:N1000">
    <cfRule type="containsText" priority="10" operator="containsText" text="Critical" dxfId="9">
      <formula>NOT(ISERROR(SEARCH("Critical",N2)))</formula>
    </cfRule>
    <cfRule type="containsText" priority="11" operator="containsText" text="High" dxfId="10">
      <formula>NOT(ISERROR(SEARCH("High",N2)))</formula>
    </cfRule>
    <cfRule type="containsText" priority="12" operator="containsText" text="Medium" dxfId="11">
      <formula>NOT(ISERROR(SEARCH("Medium",N2)))</formula>
    </cfRule>
    <cfRule type="containsText" priority="13" operator="containsText" text="Low" dxfId="12">
      <formula>NOT(ISERROR(SEARCH("Low",N2)))</formula>
    </cfRule>
  </conditionalFormatting>
  <dataValidations count="6">
    <dataValidation type="list" allowBlank="1" showErrorMessage="1" sqref="L2:L1000">
      <formula1>"Not Run,Passed,Failed,Blocked,Retest,Skipped,N/A"</formula1>
    </dataValidation>
    <dataValidation type="list" allowBlank="1" showErrorMessage="1" sqref="M2:M1000">
      <formula1>"P0,P1,P2,P3"</formula1>
    </dataValidation>
    <dataValidation type="list" allowBlank="1" showErrorMessage="1" sqref="N2:N1000">
      <formula1>"Critical,High,Medium,Low"</formula1>
    </dataValidation>
    <dataValidation type="list" allowBlank="1" showErrorMessage="1" sqref="O2:O1000">
      <formula1>"Functional,Regression,Smoke,Security,Validation,UI,Responsive,Compatibility,Integration,Negative,Boundary,Access Control,Authentication"</formula1>
    </dataValidation>
    <dataValidation type="list" allowBlank="1" showErrorMessage="1" sqref="S2:S1000">
      <formula1>"Yes,No,Maybe"</formula1>
    </dataValidation>
    <dataValidation type="list" allowBlank="1" showErrorMessage="1" sqref="T2:T1000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7" customWidth="1"/>
    <col min="3" max="3" width="24" customWidth="1"/>
    <col min="4" max="4" width="52" customWidth="1"/>
    <col min="5" max="5" width="12" customWidth="1"/>
    <col min="6" max="6" width="50" customWidth="1"/>
    <col min="7" max="7" width="14" customWidth="1"/>
    <col min="8" max="8" width="18" customWidth="1"/>
  </cols>
  <sheetData>
    <row r="1" ht="28" customHeight="1">
      <c r="A1" t="inlineStr" s="2">
        <is>
          <t>Regression ID</t>
        </is>
      </c>
      <c r="B1" t="inlineStr" s="2">
        <is>
          <t>Test Case ID</t>
        </is>
      </c>
      <c r="C1" t="inlineStr" s="2">
        <is>
          <t>Module</t>
        </is>
      </c>
      <c r="D1" t="inlineStr" s="2">
        <is>
          <t>Test Case</t>
        </is>
      </c>
      <c r="E1" t="inlineStr" s="2">
        <is>
          <t>Priority</t>
        </is>
      </c>
      <c r="F1" t="inlineStr" s="2">
        <is>
          <t>Reason Included</t>
        </is>
      </c>
      <c r="G1" t="inlineStr" s="2">
        <is>
          <t>Status</t>
        </is>
      </c>
      <c r="H1" t="inlineStr" s="2">
        <is>
          <t>Last Executed</t>
        </is>
      </c>
    </row>
    <row r="2" ht="22" customHeight="1">
      <c r="A2" t="inlineStr" s="4">
        <is>
          <t>RG-001</t>
        </is>
      </c>
      <c r="B2" t="inlineStr" s="4">
        <is>
          <t>TC-AUTH-001</t>
        </is>
      </c>
      <c r="C2" t="inlineStr" s="4">
        <is>
          <t>Authentication</t>
        </is>
      </c>
      <c r="D2" t="inlineStr" s="4">
        <is>
          <t>Login with valid user credentials</t>
        </is>
      </c>
      <c r="E2" t="inlineStr" s="4">
        <is>
          <t>P0</t>
        </is>
      </c>
      <c r="F2" t="inlineStr" s="4">
        <is>
          <t>P0/P1 critical path or access/data-integrity risk</t>
        </is>
      </c>
      <c r="G2" t="inlineStr" s="4">
        <is>
          <t>Not Run</t>
        </is>
      </c>
      <c r="H2" s="4"/>
    </row>
    <row r="3" ht="22" customHeight="1">
      <c r="A3" t="inlineStr" s="4">
        <is>
          <t>RG-002</t>
        </is>
      </c>
      <c r="B3" t="inlineStr" s="4">
        <is>
          <t>TC-AUTH-002</t>
        </is>
      </c>
      <c r="C3" t="inlineStr" s="4">
        <is>
          <t>Authentication</t>
        </is>
      </c>
      <c r="D3" t="inlineStr" s="4">
        <is>
          <t>Login rejects invalid password</t>
        </is>
      </c>
      <c r="E3" t="inlineStr" s="4">
        <is>
          <t>P0</t>
        </is>
      </c>
      <c r="F3" t="inlineStr" s="4">
        <is>
          <t>P0/P1 critical path or access/data-integrity risk</t>
        </is>
      </c>
      <c r="G3" t="inlineStr" s="4">
        <is>
          <t>Not Run</t>
        </is>
      </c>
      <c r="H3" s="4"/>
    </row>
    <row r="4" ht="22" customHeight="1">
      <c r="A4" t="inlineStr" s="4">
        <is>
          <t>RG-003</t>
        </is>
      </c>
      <c r="B4" t="inlineStr" s="4">
        <is>
          <t>TC-AUTH-003</t>
        </is>
      </c>
      <c r="C4" t="inlineStr" s="4">
        <is>
          <t>Authentication</t>
        </is>
      </c>
      <c r="D4" t="inlineStr" s="4">
        <is>
          <t>Login rejects empty credentials</t>
        </is>
      </c>
      <c r="E4" t="inlineStr" s="4">
        <is>
          <t>P1</t>
        </is>
      </c>
      <c r="F4" t="inlineStr" s="4">
        <is>
          <t>P0/P1 critical path or access/data-integrity risk</t>
        </is>
      </c>
      <c r="G4" t="inlineStr" s="4">
        <is>
          <t>Not Run</t>
        </is>
      </c>
      <c r="H4" s="4"/>
    </row>
    <row r="5" ht="22" customHeight="1">
      <c r="A5" t="inlineStr" s="4">
        <is>
          <t>RG-004</t>
        </is>
      </c>
      <c r="B5" t="inlineStr" s="4">
        <is>
          <t>TC-AUTH-004</t>
        </is>
      </c>
      <c r="C5" t="inlineStr" s="4">
        <is>
          <t>Authentication</t>
        </is>
      </c>
      <c r="D5" t="inlineStr" s="4">
        <is>
          <t>Login rate limit is enforced</t>
        </is>
      </c>
      <c r="E5" t="inlineStr" s="4">
        <is>
          <t>P1</t>
        </is>
      </c>
      <c r="F5" t="inlineStr" s="4">
        <is>
          <t>P0/P1 critical path or access/data-integrity risk</t>
        </is>
      </c>
      <c r="G5" t="inlineStr" s="4">
        <is>
          <t>Not Run</t>
        </is>
      </c>
      <c r="H5" s="4"/>
    </row>
    <row r="6" ht="22" customHeight="1">
      <c r="A6" t="inlineStr" s="4">
        <is>
          <t>RG-005</t>
        </is>
      </c>
      <c r="B6" t="inlineStr" s="4">
        <is>
          <t>TC-AUTH-006</t>
        </is>
      </c>
      <c r="C6" t="inlineStr" s="4">
        <is>
          <t>Authentication</t>
        </is>
      </c>
      <c r="D6" t="inlineStr" s="4">
        <is>
          <t>Register with valid required fields</t>
        </is>
      </c>
      <c r="E6" t="inlineStr" s="4">
        <is>
          <t>P0</t>
        </is>
      </c>
      <c r="F6" t="inlineStr" s="4">
        <is>
          <t>P0/P1 critical path or access/data-integrity risk</t>
        </is>
      </c>
      <c r="G6" t="inlineStr" s="4">
        <is>
          <t>Not Run</t>
        </is>
      </c>
      <c r="H6" s="4"/>
    </row>
    <row r="7" ht="22" customHeight="1">
      <c r="A7" t="inlineStr" s="4">
        <is>
          <t>RG-006</t>
        </is>
      </c>
      <c r="B7" t="inlineStr" s="4">
        <is>
          <t>TC-AUTH-007</t>
        </is>
      </c>
      <c r="C7" t="inlineStr" s="4">
        <is>
          <t>Authentication</t>
        </is>
      </c>
      <c r="D7" t="inlineStr" s="4">
        <is>
          <t>Register rejects missing phone/WhatsApp</t>
        </is>
      </c>
      <c r="E7" t="inlineStr" s="4">
        <is>
          <t>P0</t>
        </is>
      </c>
      <c r="F7" t="inlineStr" s="4">
        <is>
          <t>P0/P1 critical path or access/data-integrity risk</t>
        </is>
      </c>
      <c r="G7" t="inlineStr" s="4">
        <is>
          <t>Not Run</t>
        </is>
      </c>
      <c r="H7" s="4"/>
    </row>
    <row r="8" ht="22" customHeight="1">
      <c r="A8" t="inlineStr" s="4">
        <is>
          <t>RG-007</t>
        </is>
      </c>
      <c r="B8" t="inlineStr" s="4">
        <is>
          <t>TC-AUTH-008</t>
        </is>
      </c>
      <c r="C8" t="inlineStr" s="4">
        <is>
          <t>Authentication</t>
        </is>
      </c>
      <c r="D8" t="inlineStr" s="4">
        <is>
          <t>Register rejects unchecked legal terms</t>
        </is>
      </c>
      <c r="E8" t="inlineStr" s="4">
        <is>
          <t>P0</t>
        </is>
      </c>
      <c r="F8" t="inlineStr" s="4">
        <is>
          <t>P0/P1 critical path or access/data-integrity risk</t>
        </is>
      </c>
      <c r="G8" t="inlineStr" s="4">
        <is>
          <t>Not Run</t>
        </is>
      </c>
      <c r="H8" s="4"/>
    </row>
    <row r="9" ht="22" customHeight="1">
      <c r="A9" t="inlineStr" s="4">
        <is>
          <t>RG-008</t>
        </is>
      </c>
      <c r="B9" t="inlineStr" s="4">
        <is>
          <t>TC-AUTH-009</t>
        </is>
      </c>
      <c r="C9" t="inlineStr" s="4">
        <is>
          <t>Authentication</t>
        </is>
      </c>
      <c r="D9" t="inlineStr" s="4">
        <is>
          <t>Register rejects duplicate email</t>
        </is>
      </c>
      <c r="E9" t="inlineStr" s="4">
        <is>
          <t>P1</t>
        </is>
      </c>
      <c r="F9" t="inlineStr" s="4">
        <is>
          <t>P0/P1 critical path or access/data-integrity risk</t>
        </is>
      </c>
      <c r="G9" t="inlineStr" s="4">
        <is>
          <t>Not Run</t>
        </is>
      </c>
      <c r="H9" s="4"/>
    </row>
    <row r="10" ht="22" customHeight="1">
      <c r="A10" t="inlineStr" s="4">
        <is>
          <t>RG-009</t>
        </is>
      </c>
      <c r="B10" t="inlineStr" s="4">
        <is>
          <t>TC-AUTH-010</t>
        </is>
      </c>
      <c r="C10" t="inlineStr" s="4">
        <is>
          <t>Authentication</t>
        </is>
      </c>
      <c r="D10" t="inlineStr" s="4">
        <is>
          <t>Register password confirmation mismatch</t>
        </is>
      </c>
      <c r="E10" t="inlineStr" s="4">
        <is>
          <t>P1</t>
        </is>
      </c>
      <c r="F10" t="inlineStr" s="4">
        <is>
          <t>P0/P1 critical path or access/data-integrity risk</t>
        </is>
      </c>
      <c r="G10" t="inlineStr" s="4">
        <is>
          <t>Not Run</t>
        </is>
      </c>
      <c r="H10" s="4"/>
    </row>
    <row r="11" ht="22" customHeight="1">
      <c r="A11" t="inlineStr" s="4">
        <is>
          <t>RG-010</t>
        </is>
      </c>
      <c r="B11" t="inlineStr" s="4">
        <is>
          <t>TC-AUTH-011</t>
        </is>
      </c>
      <c r="C11" t="inlineStr" s="4">
        <is>
          <t>Authentication</t>
        </is>
      </c>
      <c r="D11" t="inlineStr" s="4">
        <is>
          <t>Forgot password accepts registered email</t>
        </is>
      </c>
      <c r="E11" t="inlineStr" s="4">
        <is>
          <t>P1</t>
        </is>
      </c>
      <c r="F11" t="inlineStr" s="4">
        <is>
          <t>P0/P1 critical path or access/data-integrity risk</t>
        </is>
      </c>
      <c r="G11" t="inlineStr" s="4">
        <is>
          <t>Not Run</t>
        </is>
      </c>
      <c r="H11" s="4"/>
    </row>
    <row r="12" ht="22" customHeight="1">
      <c r="A12" t="inlineStr" s="4">
        <is>
          <t>RG-011</t>
        </is>
      </c>
      <c r="B12" t="inlineStr" s="4">
        <is>
          <t>TC-AUTH-012</t>
        </is>
      </c>
      <c r="C12" t="inlineStr" s="4">
        <is>
          <t>Authentication</t>
        </is>
      </c>
      <c r="D12" t="inlineStr" s="4">
        <is>
          <t>Reset password rejects invalid token</t>
        </is>
      </c>
      <c r="E12" t="inlineStr" s="4">
        <is>
          <t>P1</t>
        </is>
      </c>
      <c r="F12" t="inlineStr" s="4">
        <is>
          <t>P0/P1 critical path or access/data-integrity risk</t>
        </is>
      </c>
      <c r="G12" t="inlineStr" s="4">
        <is>
          <t>Not Run</t>
        </is>
      </c>
      <c r="H12" s="4"/>
    </row>
    <row r="13" ht="22" customHeight="1">
      <c r="A13" t="inlineStr" s="4">
        <is>
          <t>RG-012</t>
        </is>
      </c>
      <c r="B13" t="inlineStr" s="4">
        <is>
          <t>TC-AUTH-013</t>
        </is>
      </c>
      <c r="C13" t="inlineStr" s="4">
        <is>
          <t>Authentication</t>
        </is>
      </c>
      <c r="D13" t="inlineStr" s="4">
        <is>
          <t>Email verification link validates signature</t>
        </is>
      </c>
      <c r="E13" t="inlineStr" s="4">
        <is>
          <t>P1</t>
        </is>
      </c>
      <c r="F13" t="inlineStr" s="4">
        <is>
          <t>P0/P1 critical path or access/data-integrity risk</t>
        </is>
      </c>
      <c r="G13" t="inlineStr" s="4">
        <is>
          <t>Not Run</t>
        </is>
      </c>
      <c r="H13" s="4"/>
    </row>
    <row r="14" ht="22" customHeight="1">
      <c r="A14" t="inlineStr" s="4">
        <is>
          <t>RG-013</t>
        </is>
      </c>
      <c r="B14" t="inlineStr" s="4">
        <is>
          <t>TC-AUTH-014</t>
        </is>
      </c>
      <c r="C14" t="inlineStr" s="4">
        <is>
          <t>Authentication</t>
        </is>
      </c>
      <c r="D14" t="inlineStr" s="4">
        <is>
          <t>Two factor challenge accepts valid code</t>
        </is>
      </c>
      <c r="E14" t="inlineStr" s="4">
        <is>
          <t>P1</t>
        </is>
      </c>
      <c r="F14" t="inlineStr" s="4">
        <is>
          <t>P0/P1 critical path or access/data-integrity risk</t>
        </is>
      </c>
      <c r="G14" t="inlineStr" s="4">
        <is>
          <t>Not Run</t>
        </is>
      </c>
      <c r="H14" s="4"/>
    </row>
    <row r="15" ht="22" customHeight="1">
      <c r="A15" t="inlineStr" s="4">
        <is>
          <t>RG-014</t>
        </is>
      </c>
      <c r="B15" t="inlineStr" s="4">
        <is>
          <t>TC-AUTH-015</t>
        </is>
      </c>
      <c r="C15" t="inlineStr" s="4">
        <is>
          <t>Authentication</t>
        </is>
      </c>
      <c r="D15" t="inlineStr" s="4">
        <is>
          <t>Passkey login rejects unknown credential</t>
        </is>
      </c>
      <c r="E15" t="inlineStr" s="4">
        <is>
          <t>P1</t>
        </is>
      </c>
      <c r="F15" t="inlineStr" s="4">
        <is>
          <t>P0/P1 critical path or access/data-integrity risk</t>
        </is>
      </c>
      <c r="G15" t="inlineStr" s="4">
        <is>
          <t>Not Run</t>
        </is>
      </c>
      <c r="H15" s="4"/>
    </row>
    <row r="16" ht="22" customHeight="1">
      <c r="A16" t="inlineStr" s="4">
        <is>
          <t>RG-015</t>
        </is>
      </c>
      <c r="B16" t="inlineStr" s="4">
        <is>
          <t>TC-HOME-002</t>
        </is>
      </c>
      <c r="C16" t="inlineStr" s="4">
        <is>
          <t>Public Home</t>
        </is>
      </c>
      <c r="D16" t="inlineStr" s="4">
        <is>
          <t>Desktop banner side previews are proportional</t>
        </is>
      </c>
      <c r="E16" t="inlineStr" s="4">
        <is>
          <t>P1</t>
        </is>
      </c>
      <c r="F16" t="inlineStr" s="4">
        <is>
          <t>P0/P1 critical path or access/data-integrity risk</t>
        </is>
      </c>
      <c r="G16" t="inlineStr" s="4">
        <is>
          <t>Not Run</t>
        </is>
      </c>
      <c r="H16" s="4"/>
    </row>
    <row r="17" ht="22" customHeight="1">
      <c r="A17" t="inlineStr" s="4">
        <is>
          <t>RG-016</t>
        </is>
      </c>
      <c r="B17" t="inlineStr" s="4">
        <is>
          <t>TC-HOME-003</t>
        </is>
      </c>
      <c r="C17" t="inlineStr" s="4">
        <is>
          <t>Public Home</t>
        </is>
      </c>
      <c r="D17" t="inlineStr" s="4">
        <is>
          <t>Mobile homepage remains scrollable without horizontal overflow</t>
        </is>
      </c>
      <c r="E17" t="inlineStr" s="4">
        <is>
          <t>P1</t>
        </is>
      </c>
      <c r="F17" t="inlineStr" s="4">
        <is>
          <t>P0/P1 critical path or access/data-integrity risk</t>
        </is>
      </c>
      <c r="G17" t="inlineStr" s="4">
        <is>
          <t>Not Run</t>
        </is>
      </c>
      <c r="H17" s="4"/>
    </row>
    <row r="18" ht="22" customHeight="1">
      <c r="A18" t="inlineStr" s="4">
        <is>
          <t>RG-017</t>
        </is>
      </c>
      <c r="B18" t="inlineStr" s="4">
        <is>
          <t>TC-CATALOG-001</t>
        </is>
      </c>
      <c r="C18" t="inlineStr" s="4">
        <is>
          <t>Wisata Catalog</t>
        </is>
      </c>
      <c r="D18" t="inlineStr" s="4">
        <is>
          <t>Catalog loads live wisata destinations</t>
        </is>
      </c>
      <c r="E18" t="inlineStr" s="4">
        <is>
          <t>P0</t>
        </is>
      </c>
      <c r="F18" t="inlineStr" s="4">
        <is>
          <t>P0/P1 critical path or access/data-integrity risk</t>
        </is>
      </c>
      <c r="G18" t="inlineStr" s="4">
        <is>
          <t>Not Run</t>
        </is>
      </c>
      <c r="H18" s="4"/>
    </row>
    <row r="19" ht="22" customHeight="1">
      <c r="A19" t="inlineStr" s="4">
        <is>
          <t>RG-018</t>
        </is>
      </c>
      <c r="B19" t="inlineStr" s="4">
        <is>
          <t>TC-CATALOG-002</t>
        </is>
      </c>
      <c r="C19" t="inlineStr" s="4">
        <is>
          <t>Wisata Catalog</t>
        </is>
      </c>
      <c r="D19" t="inlineStr" s="4">
        <is>
          <t>Search filters by destination keyword</t>
        </is>
      </c>
      <c r="E19" t="inlineStr" s="4">
        <is>
          <t>P1</t>
        </is>
      </c>
      <c r="F19" t="inlineStr" s="4">
        <is>
          <t>P0/P1 critical path or access/data-integrity risk</t>
        </is>
      </c>
      <c r="G19" t="inlineStr" s="4">
        <is>
          <t>Not Run</t>
        </is>
      </c>
      <c r="H19" s="4"/>
    </row>
    <row r="20" ht="22" customHeight="1">
      <c r="A20" t="inlineStr" s="4">
        <is>
          <t>RG-019</t>
        </is>
      </c>
      <c r="B20" t="inlineStr" s="4">
        <is>
          <t>TC-CATALOG-003</t>
        </is>
      </c>
      <c r="C20" t="inlineStr" s="4">
        <is>
          <t>Wisata Catalog</t>
        </is>
      </c>
      <c r="D20" t="inlineStr" s="4">
        <is>
          <t>Search with no result shows empty state</t>
        </is>
      </c>
      <c r="E20" t="inlineStr" s="4">
        <is>
          <t>P1</t>
        </is>
      </c>
      <c r="F20" t="inlineStr" s="4">
        <is>
          <t>P0/P1 critical path or access/data-integrity risk</t>
        </is>
      </c>
      <c r="G20" t="inlineStr" s="4">
        <is>
          <t>Not Run</t>
        </is>
      </c>
      <c r="H20" s="4"/>
    </row>
    <row r="21" ht="22" customHeight="1">
      <c r="A21" t="inlineStr" s="4">
        <is>
          <t>RG-020</t>
        </is>
      </c>
      <c r="B21" t="inlineStr" s="4">
        <is>
          <t>TC-CATALOG-004</t>
        </is>
      </c>
      <c r="C21" t="inlineStr" s="4">
        <is>
          <t>Wisata Catalog</t>
        </is>
      </c>
      <c r="D21" t="inlineStr" s="4">
        <is>
          <t>Category filter applies correctly</t>
        </is>
      </c>
      <c r="E21" t="inlineStr" s="4">
        <is>
          <t>P1</t>
        </is>
      </c>
      <c r="F21" t="inlineStr" s="4">
        <is>
          <t>P0/P1 critical path or access/data-integrity risk</t>
        </is>
      </c>
      <c r="G21" t="inlineStr" s="4">
        <is>
          <t>Not Run</t>
        </is>
      </c>
      <c r="H21" s="4"/>
    </row>
    <row r="22" ht="22" customHeight="1">
      <c r="A22" t="inlineStr" s="4">
        <is>
          <t>RG-021</t>
        </is>
      </c>
      <c r="B22" t="inlineStr" s="4">
        <is>
          <t>TC-CATALOG-005</t>
        </is>
      </c>
      <c r="C22" t="inlineStr" s="4">
        <is>
          <t>Wisata Catalog</t>
        </is>
      </c>
      <c r="D22" t="inlineStr" s="4">
        <is>
          <t>Invalid filter does not crash listing</t>
        </is>
      </c>
      <c r="E22" t="inlineStr" s="4">
        <is>
          <t>P1</t>
        </is>
      </c>
      <c r="F22" t="inlineStr" s="4">
        <is>
          <t>P0/P1 critical path or access/data-integrity risk</t>
        </is>
      </c>
      <c r="G22" t="inlineStr" s="4">
        <is>
          <t>Not Run</t>
        </is>
      </c>
      <c r="H22" s="4"/>
    </row>
    <row r="23" ht="22" customHeight="1">
      <c r="A23" t="inlineStr" s="4">
        <is>
          <t>RG-022</t>
        </is>
      </c>
      <c r="B23" t="inlineStr" s="4">
        <is>
          <t>TC-CATALOG-006</t>
        </is>
      </c>
      <c r="C23" t="inlineStr" s="4">
        <is>
          <t>Wisata Catalog</t>
        </is>
      </c>
      <c r="D23" t="inlineStr" s="4">
        <is>
          <t>Pagination/infinite list does not duplicate cards</t>
        </is>
      </c>
      <c r="E23" t="inlineStr" s="4">
        <is>
          <t>P1</t>
        </is>
      </c>
      <c r="F23" t="inlineStr" s="4">
        <is>
          <t>P0/P1 critical path or access/data-integrity risk</t>
        </is>
      </c>
      <c r="G23" t="inlineStr" s="4">
        <is>
          <t>Not Run</t>
        </is>
      </c>
      <c r="H23" s="4"/>
    </row>
    <row r="24" ht="22" customHeight="1">
      <c r="A24" t="inlineStr" s="4">
        <is>
          <t>RG-023</t>
        </is>
      </c>
      <c r="B24" t="inlineStr" s="4">
        <is>
          <t>TC-CATALOG-007</t>
        </is>
      </c>
      <c r="C24" t="inlineStr" s="4">
        <is>
          <t>Wisata Catalog</t>
        </is>
      </c>
      <c r="D24" t="inlineStr" s="4">
        <is>
          <t>Long destination name wraps safely</t>
        </is>
      </c>
      <c r="E24" t="inlineStr" s="4">
        <is>
          <t>P1</t>
        </is>
      </c>
      <c r="F24" t="inlineStr" s="4">
        <is>
          <t>P0/P1 critical path or access/data-integrity risk</t>
        </is>
      </c>
      <c r="G24" t="inlineStr" s="4">
        <is>
          <t>Not Run</t>
        </is>
      </c>
      <c r="H24" s="4"/>
    </row>
    <row r="25" ht="22" customHeight="1">
      <c r="A25" t="inlineStr" s="4">
        <is>
          <t>RG-024</t>
        </is>
      </c>
      <c r="B25" t="inlineStr" s="4">
        <is>
          <t>TC-CATALOG-008</t>
        </is>
      </c>
      <c r="C25" t="inlineStr" s="4">
        <is>
          <t>Wisata Catalog</t>
        </is>
      </c>
      <c r="D25" t="inlineStr" s="4">
        <is>
          <t>Clicking destination card opens detail page</t>
        </is>
      </c>
      <c r="E25" t="inlineStr" s="4">
        <is>
          <t>P0</t>
        </is>
      </c>
      <c r="F25" t="inlineStr" s="4">
        <is>
          <t>P0/P1 critical path or access/data-integrity risk</t>
        </is>
      </c>
      <c r="G25" t="inlineStr" s="4">
        <is>
          <t>Not Run</t>
        </is>
      </c>
      <c r="H25" s="4"/>
    </row>
    <row r="26" ht="22" customHeight="1">
      <c r="A26" t="inlineStr" s="4">
        <is>
          <t>RG-025</t>
        </is>
      </c>
      <c r="B26" t="inlineStr" s="4">
        <is>
          <t>TC-CATALOG-009</t>
        </is>
      </c>
      <c r="C26" t="inlineStr" s="4">
        <is>
          <t>Wisata Catalog</t>
        </is>
      </c>
      <c r="D26" t="inlineStr" s="4">
        <is>
          <t>Draft/inactive destination is hidden from public listing</t>
        </is>
      </c>
      <c r="E26" t="inlineStr" s="4">
        <is>
          <t>P0</t>
        </is>
      </c>
      <c r="F26" t="inlineStr" s="4">
        <is>
          <t>P0/P1 critical path or access/data-integrity risk</t>
        </is>
      </c>
      <c r="G26" t="inlineStr" s="4">
        <is>
          <t>Not Run</t>
        </is>
      </c>
      <c r="H26" s="4"/>
    </row>
    <row r="27" ht="22" customHeight="1">
      <c r="A27" t="inlineStr" s="4">
        <is>
          <t>RG-026</t>
        </is>
      </c>
      <c r="B27" t="inlineStr" s="4">
        <is>
          <t>TC-CATALOG-010</t>
        </is>
      </c>
      <c r="C27" t="inlineStr" s="4">
        <is>
          <t>Wisata Catalog</t>
        </is>
      </c>
      <c r="D27" t="inlineStr" s="4">
        <is>
          <t>Catalog mobile filter/search remains usable</t>
        </is>
      </c>
      <c r="E27" t="inlineStr" s="4">
        <is>
          <t>P1</t>
        </is>
      </c>
      <c r="F27" t="inlineStr" s="4">
        <is>
          <t>P0/P1 critical path or access/data-integrity risk</t>
        </is>
      </c>
      <c r="G27" t="inlineStr" s="4">
        <is>
          <t>Not Run</t>
        </is>
      </c>
      <c r="H27" s="4"/>
    </row>
    <row r="28" ht="22" customHeight="1">
      <c r="A28" t="inlineStr" s="4">
        <is>
          <t>RG-027</t>
        </is>
      </c>
      <c r="B28" t="inlineStr" s="4">
        <is>
          <t>TC-WISATA-DETAIL-001</t>
        </is>
      </c>
      <c r="C28" t="inlineStr" s="4">
        <is>
          <t>Wisata Detail</t>
        </is>
      </c>
      <c r="D28" t="inlineStr" s="4">
        <is>
          <t>Open valid destination detail</t>
        </is>
      </c>
      <c r="E28" t="inlineStr" s="4">
        <is>
          <t>P0</t>
        </is>
      </c>
      <c r="F28" t="inlineStr" s="4">
        <is>
          <t>P0/P1 critical path or access/data-integrity risk</t>
        </is>
      </c>
      <c r="G28" t="inlineStr" s="4">
        <is>
          <t>Not Run</t>
        </is>
      </c>
      <c r="H28" s="4"/>
    </row>
    <row r="29" ht="22" customHeight="1">
      <c r="A29" t="inlineStr" s="4">
        <is>
          <t>RG-028</t>
        </is>
      </c>
      <c r="B29" t="inlineStr" s="4">
        <is>
          <t>TC-WISATA-DETAIL-002</t>
        </is>
      </c>
      <c r="C29" t="inlineStr" s="4">
        <is>
          <t>Wisata Detail</t>
        </is>
      </c>
      <c r="D29" t="inlineStr" s="4">
        <is>
          <t>Invalid destination slug returns safe 404</t>
        </is>
      </c>
      <c r="E29" t="inlineStr" s="4">
        <is>
          <t>P1</t>
        </is>
      </c>
      <c r="F29" t="inlineStr" s="4">
        <is>
          <t>P0/P1 critical path or access/data-integrity risk</t>
        </is>
      </c>
      <c r="G29" t="inlineStr" s="4">
        <is>
          <t>Not Run</t>
        </is>
      </c>
      <c r="H29" s="4"/>
    </row>
    <row r="30" ht="22" customHeight="1">
      <c r="A30" t="inlineStr" s="4">
        <is>
          <t>RG-029</t>
        </is>
      </c>
      <c r="B30" t="inlineStr" s="4">
        <is>
          <t>TC-WISATA-DETAIL-003</t>
        </is>
      </c>
      <c r="C30" t="inlineStr" s="4">
        <is>
          <t>Wisata Detail</t>
        </is>
      </c>
      <c r="D30" t="inlineStr" s="4">
        <is>
          <t>Ticket list shows active tickets only</t>
        </is>
      </c>
      <c r="E30" t="inlineStr" s="4">
        <is>
          <t>P1</t>
        </is>
      </c>
      <c r="F30" t="inlineStr" s="4">
        <is>
          <t>P0/P1 critical path or access/data-integrity risk</t>
        </is>
      </c>
      <c r="G30" t="inlineStr" s="4">
        <is>
          <t>Not Run</t>
        </is>
      </c>
      <c r="H30" s="4"/>
    </row>
    <row r="31" ht="22" customHeight="1">
      <c r="A31" t="inlineStr" s="4">
        <is>
          <t>RG-030</t>
        </is>
      </c>
      <c r="B31" t="inlineStr" s="4">
        <is>
          <t>TC-WISATA-DETAIL-004</t>
        </is>
      </c>
      <c r="C31" t="inlineStr" s="4">
        <is>
          <t>Wisata Detail</t>
        </is>
      </c>
      <c r="D31" t="inlineStr" s="4">
        <is>
          <t>Package ticket shows included ticket information</t>
        </is>
      </c>
      <c r="E31" t="inlineStr" s="4">
        <is>
          <t>P1</t>
        </is>
      </c>
      <c r="F31" t="inlineStr" s="4">
        <is>
          <t>P0/P1 critical path or access/data-integrity risk</t>
        </is>
      </c>
      <c r="G31" t="inlineStr" s="4">
        <is>
          <t>Not Run</t>
        </is>
      </c>
      <c r="H31" s="4"/>
    </row>
    <row r="32" ht="22" customHeight="1">
      <c r="A32" t="inlineStr" s="4">
        <is>
          <t>RG-031</t>
        </is>
      </c>
      <c r="B32" t="inlineStr" s="4">
        <is>
          <t>TC-WISATA-DETAIL-005</t>
        </is>
      </c>
      <c r="C32" t="inlineStr" s="4">
        <is>
          <t>Wisata Detail</t>
        </is>
      </c>
      <c r="D32" t="inlineStr" s="4">
        <is>
          <t>Minimum order is enforced in selector</t>
        </is>
      </c>
      <c r="E32" t="inlineStr" s="4">
        <is>
          <t>P1</t>
        </is>
      </c>
      <c r="F32" t="inlineStr" s="4">
        <is>
          <t>P0/P1 critical path or access/data-integrity risk</t>
        </is>
      </c>
      <c r="G32" t="inlineStr" s="4">
        <is>
          <t>Not Run</t>
        </is>
      </c>
      <c r="H32" s="4"/>
    </row>
    <row r="33" ht="22" customHeight="1">
      <c r="A33" t="inlineStr" s="4">
        <is>
          <t>RG-032</t>
        </is>
      </c>
      <c r="B33" t="inlineStr" s="4">
        <is>
          <t>TC-WISATA-DETAIL-006</t>
        </is>
      </c>
      <c r="C33" t="inlineStr" s="4">
        <is>
          <t>Wisata Detail</t>
        </is>
      </c>
      <c r="D33" t="inlineStr" s="4">
        <is>
          <t>Maximum order is enforced in selector</t>
        </is>
      </c>
      <c r="E33" t="inlineStr" s="4">
        <is>
          <t>P1</t>
        </is>
      </c>
      <c r="F33" t="inlineStr" s="4">
        <is>
          <t>P0/P1 critical path or access/data-integrity risk</t>
        </is>
      </c>
      <c r="G33" t="inlineStr" s="4">
        <is>
          <t>Not Run</t>
        </is>
      </c>
      <c r="H33" s="4"/>
    </row>
    <row r="34" ht="22" customHeight="1">
      <c r="A34" t="inlineStr" s="4">
        <is>
          <t>RG-033</t>
        </is>
      </c>
      <c r="B34" t="inlineStr" s="4">
        <is>
          <t>TC-WISATA-DETAIL-007</t>
        </is>
      </c>
      <c r="C34" t="inlineStr" s="4">
        <is>
          <t>Wisata Detail</t>
        </is>
      </c>
      <c r="D34" t="inlineStr" s="4">
        <is>
          <t>Unavailable price shows ticket unavailable</t>
        </is>
      </c>
      <c r="E34" t="inlineStr" s="4">
        <is>
          <t>P1</t>
        </is>
      </c>
      <c r="F34" t="inlineStr" s="4">
        <is>
          <t>P0/P1 critical path or access/data-integrity risk</t>
        </is>
      </c>
      <c r="G34" t="inlineStr" s="4">
        <is>
          <t>Not Run</t>
        </is>
      </c>
      <c r="H34" s="4"/>
    </row>
    <row r="35" ht="22" customHeight="1">
      <c r="A35" t="inlineStr" s="4">
        <is>
          <t>RG-034</t>
        </is>
      </c>
      <c r="B35" t="inlineStr" s="4">
        <is>
          <t>TC-WISATA-DETAIL-008</t>
        </is>
      </c>
      <c r="C35" t="inlineStr" s="4">
        <is>
          <t>Wisata Detail</t>
        </is>
      </c>
      <c r="D35" t="inlineStr" s="4">
        <is>
          <t>Review summary loads active wisata reviews</t>
        </is>
      </c>
      <c r="E35" t="inlineStr" s="4">
        <is>
          <t>P1</t>
        </is>
      </c>
      <c r="F35" t="inlineStr" s="4">
        <is>
          <t>P0/P1 critical path or access/data-integrity risk</t>
        </is>
      </c>
      <c r="G35" t="inlineStr" s="4">
        <is>
          <t>Not Run</t>
        </is>
      </c>
      <c r="H35" s="4"/>
    </row>
    <row r="36" ht="22" customHeight="1">
      <c r="A36" t="inlineStr" s="4">
        <is>
          <t>RG-035</t>
        </is>
      </c>
      <c r="B36" t="inlineStr" s="4">
        <is>
          <t>TC-WISATA-DETAIL-009</t>
        </is>
      </c>
      <c r="C36" t="inlineStr" s="4">
        <is>
          <t>Wisata Detail</t>
        </is>
      </c>
      <c r="D36" t="inlineStr" s="4">
        <is>
          <t>Gallery images maintain aspect ratio on mobile</t>
        </is>
      </c>
      <c r="E36" t="inlineStr" s="4">
        <is>
          <t>P1</t>
        </is>
      </c>
      <c r="F36" t="inlineStr" s="4">
        <is>
          <t>P0/P1 critical path or access/data-integrity risk</t>
        </is>
      </c>
      <c r="G36" t="inlineStr" s="4">
        <is>
          <t>Not Run</t>
        </is>
      </c>
      <c r="H36" s="4"/>
    </row>
    <row r="37" ht="22" customHeight="1">
      <c r="A37" t="inlineStr" s="4">
        <is>
          <t>RG-036</t>
        </is>
      </c>
      <c r="B37" t="inlineStr" s="4">
        <is>
          <t>TC-WISATA-DETAIL-010</t>
        </is>
      </c>
      <c r="C37" t="inlineStr" s="4">
        <is>
          <t>Wisata Detail</t>
        </is>
      </c>
      <c r="D37" t="inlineStr" s="4">
        <is>
          <t>Guest selecting ticket is sent to login after draft creation</t>
        </is>
      </c>
      <c r="E37" t="inlineStr" s="4">
        <is>
          <t>P0</t>
        </is>
      </c>
      <c r="F37" t="inlineStr" s="4">
        <is>
          <t>P0/P1 critical path or access/data-integrity risk</t>
        </is>
      </c>
      <c r="G37" t="inlineStr" s="4">
        <is>
          <t>Not Run</t>
        </is>
      </c>
      <c r="H37" s="4"/>
    </row>
    <row r="38" ht="22" customHeight="1">
      <c r="A38" t="inlineStr" s="4">
        <is>
          <t>RG-037</t>
        </is>
      </c>
      <c r="B38" t="inlineStr" s="4">
        <is>
          <t>TC-WISATA-BOOKING-001</t>
        </is>
      </c>
      <c r="C38" t="inlineStr" s="4">
        <is>
          <t>Wisata Booking</t>
        </is>
      </c>
      <c r="D38" t="inlineStr" s="4">
        <is>
          <t>Prepare booking with one valid ticket</t>
        </is>
      </c>
      <c r="E38" t="inlineStr" s="4">
        <is>
          <t>P0</t>
        </is>
      </c>
      <c r="F38" t="inlineStr" s="4">
        <is>
          <t>P0/P1 critical path or access/data-integrity risk</t>
        </is>
      </c>
      <c r="G38" t="inlineStr" s="4">
        <is>
          <t>Not Run</t>
        </is>
      </c>
      <c r="H38" s="4"/>
    </row>
    <row r="39" ht="22" customHeight="1">
      <c r="A39" t="inlineStr" s="4">
        <is>
          <t>RG-038</t>
        </is>
      </c>
      <c r="B39" t="inlineStr" s="4">
        <is>
          <t>TC-WISATA-BOOKING-002</t>
        </is>
      </c>
      <c r="C39" t="inlineStr" s="4">
        <is>
          <t>Wisata Booking</t>
        </is>
      </c>
      <c r="D39" t="inlineStr" s="4">
        <is>
          <t>Prepare booking with multiple ticket types</t>
        </is>
      </c>
      <c r="E39" t="inlineStr" s="4">
        <is>
          <t>P1</t>
        </is>
      </c>
      <c r="F39" t="inlineStr" s="4">
        <is>
          <t>P0/P1 critical path or access/data-integrity risk</t>
        </is>
      </c>
      <c r="G39" t="inlineStr" s="4">
        <is>
          <t>Not Run</t>
        </is>
      </c>
      <c r="H39" s="4"/>
    </row>
    <row r="40" ht="22" customHeight="1">
      <c r="A40" t="inlineStr" s="4">
        <is>
          <t>RG-039</t>
        </is>
      </c>
      <c r="B40" t="inlineStr" s="4">
        <is>
          <t>TC-WISATA-BOOKING-003</t>
        </is>
      </c>
      <c r="C40" t="inlineStr" s="4">
        <is>
          <t>Wisata Booking</t>
        </is>
      </c>
      <c r="D40" t="inlineStr" s="4">
        <is>
          <t>Prepare rejects quantity above 20</t>
        </is>
      </c>
      <c r="E40" t="inlineStr" s="4">
        <is>
          <t>P1</t>
        </is>
      </c>
      <c r="F40" t="inlineStr" s="4">
        <is>
          <t>P0/P1 critical path or access/data-integrity risk</t>
        </is>
      </c>
      <c r="G40" t="inlineStr" s="4">
        <is>
          <t>Not Run</t>
        </is>
      </c>
      <c r="H40" s="4"/>
    </row>
    <row r="41" ht="22" customHeight="1">
      <c r="A41" t="inlineStr" s="4">
        <is>
          <t>RG-040</t>
        </is>
      </c>
      <c r="B41" t="inlineStr" s="4">
        <is>
          <t>TC-WISATA-BOOKING-004</t>
        </is>
      </c>
      <c r="C41" t="inlineStr" s="4">
        <is>
          <t>Wisata Booking</t>
        </is>
      </c>
      <c r="D41" t="inlineStr" s="4">
        <is>
          <t>Prepare rejects destination/ticket mismatch</t>
        </is>
      </c>
      <c r="E41" t="inlineStr" s="4">
        <is>
          <t>P1</t>
        </is>
      </c>
      <c r="F41" t="inlineStr" s="4">
        <is>
          <t>P0/P1 critical path or access/data-integrity risk</t>
        </is>
      </c>
      <c r="G41" t="inlineStr" s="4">
        <is>
          <t>Not Run</t>
        </is>
      </c>
      <c r="H41" s="4"/>
    </row>
    <row r="42" ht="22" customHeight="1">
      <c r="A42" t="inlineStr" s="4">
        <is>
          <t>RG-041</t>
        </is>
      </c>
      <c r="B42" t="inlineStr" s="4">
        <is>
          <t>TC-WISATA-BOOKING-005</t>
        </is>
      </c>
      <c r="C42" t="inlineStr" s="4">
        <is>
          <t>Wisata Booking</t>
        </is>
      </c>
      <c r="D42" t="inlineStr" s="4">
        <is>
          <t>Apply valid voucher</t>
        </is>
      </c>
      <c r="E42" t="inlineStr" s="4">
        <is>
          <t>P1</t>
        </is>
      </c>
      <c r="F42" t="inlineStr" s="4">
        <is>
          <t>P0/P1 critical path or access/data-integrity risk</t>
        </is>
      </c>
      <c r="G42" t="inlineStr" s="4">
        <is>
          <t>Not Run</t>
        </is>
      </c>
      <c r="H42" s="4"/>
    </row>
    <row r="43" ht="22" customHeight="1">
      <c r="A43" t="inlineStr" s="4">
        <is>
          <t>RG-042</t>
        </is>
      </c>
      <c r="B43" t="inlineStr" s="4">
        <is>
          <t>TC-WISATA-BOOKING-006</t>
        </is>
      </c>
      <c r="C43" t="inlineStr" s="4">
        <is>
          <t>Wisata Booking</t>
        </is>
      </c>
      <c r="D43" t="inlineStr" s="4">
        <is>
          <t>Apply voucher below minimum transaction</t>
        </is>
      </c>
      <c r="E43" t="inlineStr" s="4">
        <is>
          <t>P1</t>
        </is>
      </c>
      <c r="F43" t="inlineStr" s="4">
        <is>
          <t>P0/P1 critical path or access/data-integrity risk</t>
        </is>
      </c>
      <c r="G43" t="inlineStr" s="4">
        <is>
          <t>Not Run</t>
        </is>
      </c>
      <c r="H43" s="4"/>
    </row>
    <row r="44" ht="22" customHeight="1">
      <c r="A44" t="inlineStr" s="4">
        <is>
          <t>RG-043</t>
        </is>
      </c>
      <c r="B44" t="inlineStr" s="4">
        <is>
          <t>TC-WISATA-BOOKING-007</t>
        </is>
      </c>
      <c r="C44" t="inlineStr" s="4">
        <is>
          <t>Wisata Booking</t>
        </is>
      </c>
      <c r="D44" t="inlineStr" s="4">
        <is>
          <t>Apply exhausted voucher</t>
        </is>
      </c>
      <c r="E44" t="inlineStr" s="4">
        <is>
          <t>P1</t>
        </is>
      </c>
      <c r="F44" t="inlineStr" s="4">
        <is>
          <t>P0/P1 critical path or access/data-integrity risk</t>
        </is>
      </c>
      <c r="G44" t="inlineStr" s="4">
        <is>
          <t>Not Run</t>
        </is>
      </c>
      <c r="H44" s="4"/>
    </row>
    <row r="45" ht="22" customHeight="1">
      <c r="A45" t="inlineStr" s="4">
        <is>
          <t>RG-044</t>
        </is>
      </c>
      <c r="B45" t="inlineStr" s="4">
        <is>
          <t>TC-WISATA-BOOKING-008</t>
        </is>
      </c>
      <c r="C45" t="inlineStr" s="4">
        <is>
          <t>Wisata Booking</t>
        </is>
      </c>
      <c r="D45" t="inlineStr" s="4">
        <is>
          <t>Remove voucher from booking review</t>
        </is>
      </c>
      <c r="E45" t="inlineStr" s="4">
        <is>
          <t>P1</t>
        </is>
      </c>
      <c r="F45" t="inlineStr" s="4">
        <is>
          <t>P0/P1 critical path or access/data-integrity risk</t>
        </is>
      </c>
      <c r="G45" t="inlineStr" s="4">
        <is>
          <t>Not Run</t>
        </is>
      </c>
      <c r="H45" s="4"/>
    </row>
    <row r="46" ht="22" customHeight="1">
      <c r="A46" t="inlineStr" s="4">
        <is>
          <t>RG-045</t>
        </is>
      </c>
      <c r="B46" t="inlineStr" s="4">
        <is>
          <t>TC-WISATA-BOOKING-009</t>
        </is>
      </c>
      <c r="C46" t="inlineStr" s="4">
        <is>
          <t>Wisata Booking</t>
        </is>
      </c>
      <c r="D46" t="inlineStr" s="4">
        <is>
          <t>Confirm booking with complete guest data and profile phone</t>
        </is>
      </c>
      <c r="E46" t="inlineStr" s="4">
        <is>
          <t>P0</t>
        </is>
      </c>
      <c r="F46" t="inlineStr" s="4">
        <is>
          <t>P0/P1 critical path or access/data-integrity risk</t>
        </is>
      </c>
      <c r="G46" t="inlineStr" s="4">
        <is>
          <t>Not Run</t>
        </is>
      </c>
      <c r="H46" s="4"/>
    </row>
    <row r="47" ht="22" customHeight="1">
      <c r="A47" t="inlineStr" s="4">
        <is>
          <t>RG-046</t>
        </is>
      </c>
      <c r="B47" t="inlineStr" s="4">
        <is>
          <t>TC-WISATA-BOOKING-010</t>
        </is>
      </c>
      <c r="C47" t="inlineStr" s="4">
        <is>
          <t>Wisata Booking</t>
        </is>
      </c>
      <c r="D47" t="inlineStr" s="4">
        <is>
          <t>Confirm booking blocked when user has no phone</t>
        </is>
      </c>
      <c r="E47" t="inlineStr" s="4">
        <is>
          <t>P1</t>
        </is>
      </c>
      <c r="F47" t="inlineStr" s="4">
        <is>
          <t>P0/P1 critical path or access/data-integrity risk</t>
        </is>
      </c>
      <c r="G47" t="inlineStr" s="4">
        <is>
          <t>Not Run</t>
        </is>
      </c>
      <c r="H47" s="4"/>
    </row>
    <row r="48" ht="22" customHeight="1">
      <c r="A48" t="inlineStr" s="4">
        <is>
          <t>RG-047</t>
        </is>
      </c>
      <c r="B48" t="inlineStr" s="4">
        <is>
          <t>TC-WISATA-BOOKING-011</t>
        </is>
      </c>
      <c r="C48" t="inlineStr" s="4">
        <is>
          <t>Wisata Booking</t>
        </is>
      </c>
      <c r="D48" t="inlineStr" s="4">
        <is>
          <t>Duplicate confirm reuses existing pending booking</t>
        </is>
      </c>
      <c r="E48" t="inlineStr" s="4">
        <is>
          <t>P1</t>
        </is>
      </c>
      <c r="F48" t="inlineStr" s="4">
        <is>
          <t>P0/P1 critical path or access/data-integrity risk</t>
        </is>
      </c>
      <c r="G48" t="inlineStr" s="4">
        <is>
          <t>Not Run</t>
        </is>
      </c>
      <c r="H48" s="4"/>
    </row>
    <row r="49" ht="22" customHeight="1">
      <c r="A49" t="inlineStr" s="4">
        <is>
          <t>RG-048</t>
        </is>
      </c>
      <c r="B49" t="inlineStr" s="4">
        <is>
          <t>TC-WISATA-BOOKING-012</t>
        </is>
      </c>
      <c r="C49" t="inlineStr" s="4">
        <is>
          <t>Wisata Booking</t>
        </is>
      </c>
      <c r="D49" t="inlineStr" s="4">
        <is>
          <t>Payment page opens for owner booking</t>
        </is>
      </c>
      <c r="E49" t="inlineStr" s="4">
        <is>
          <t>P1</t>
        </is>
      </c>
      <c r="F49" t="inlineStr" s="4">
        <is>
          <t>P0/P1 critical path or access/data-integrity risk</t>
        </is>
      </c>
      <c r="G49" t="inlineStr" s="4">
        <is>
          <t>Not Run</t>
        </is>
      </c>
      <c r="H49" s="4"/>
    </row>
    <row r="50" ht="22" customHeight="1">
      <c r="A50" t="inlineStr" s="4">
        <is>
          <t>RG-049</t>
        </is>
      </c>
      <c r="B50" t="inlineStr" s="4">
        <is>
          <t>TC-WISATA-BOOKING-013</t>
        </is>
      </c>
      <c r="C50" t="inlineStr" s="4">
        <is>
          <t>Wisata Booking</t>
        </is>
      </c>
      <c r="D50" t="inlineStr" s="4">
        <is>
          <t>Payment access denied for another user booking</t>
        </is>
      </c>
      <c r="E50" t="inlineStr" s="4">
        <is>
          <t>P0</t>
        </is>
      </c>
      <c r="F50" t="inlineStr" s="4">
        <is>
          <t>P0/P1 critical path or access/data-integrity risk</t>
        </is>
      </c>
      <c r="G50" t="inlineStr" s="4">
        <is>
          <t>Not Run</t>
        </is>
      </c>
      <c r="H50" s="4"/>
    </row>
    <row r="51" ht="22" customHeight="1">
      <c r="A51" t="inlineStr" s="4">
        <is>
          <t>RG-050</t>
        </is>
      </c>
      <c r="B51" t="inlineStr" s="4">
        <is>
          <t>TC-WISATA-BOOKING-014</t>
        </is>
      </c>
      <c r="C51" t="inlineStr" s="4">
        <is>
          <t>Wisata Booking</t>
        </is>
      </c>
      <c r="D51" t="inlineStr" s="4">
        <is>
          <t>Paid booking e-ticket renders Indotix ticket</t>
        </is>
      </c>
      <c r="E51" t="inlineStr" s="4">
        <is>
          <t>P0</t>
        </is>
      </c>
      <c r="F51" t="inlineStr" s="4">
        <is>
          <t>P0/P1 critical path or access/data-integrity risk</t>
        </is>
      </c>
      <c r="G51" t="inlineStr" s="4">
        <is>
          <t>Not Run</t>
        </is>
      </c>
      <c r="H51" s="4"/>
    </row>
    <row r="52" ht="22" customHeight="1">
      <c r="A52" t="inlineStr" s="4">
        <is>
          <t>RG-051</t>
        </is>
      </c>
      <c r="B52" t="inlineStr" s="4">
        <is>
          <t>TC-WISATA-BOOKING-015</t>
        </is>
      </c>
      <c r="C52" t="inlineStr" s="4">
        <is>
          <t>Wisata Booking</t>
        </is>
      </c>
      <c r="D52" t="inlineStr" s="4">
        <is>
          <t>History shows paid and pending wisata bookings</t>
        </is>
      </c>
      <c r="E52" t="inlineStr" s="4">
        <is>
          <t>P1</t>
        </is>
      </c>
      <c r="F52" t="inlineStr" s="4">
        <is>
          <t>P0/P1 critical path or access/data-integrity risk</t>
        </is>
      </c>
      <c r="G52" t="inlineStr" s="4">
        <is>
          <t>Not Run</t>
        </is>
      </c>
      <c r="H52" s="4"/>
    </row>
    <row r="53" ht="22" customHeight="1">
      <c r="A53" t="inlineStr" s="4">
        <is>
          <t>RG-052</t>
        </is>
      </c>
      <c r="B53" t="inlineStr" s="4">
        <is>
          <t>TC-WISATA-BOOKING-016</t>
        </is>
      </c>
      <c r="C53" t="inlineStr" s="4">
        <is>
          <t>Wisata Booking</t>
        </is>
      </c>
      <c r="D53" t="inlineStr" s="4">
        <is>
          <t>Expired booking cannot be paid</t>
        </is>
      </c>
      <c r="E53" t="inlineStr" s="4">
        <is>
          <t>P1</t>
        </is>
      </c>
      <c r="F53" t="inlineStr" s="4">
        <is>
          <t>P0/P1 critical path or access/data-integrity risk</t>
        </is>
      </c>
      <c r="G53" t="inlineStr" s="4">
        <is>
          <t>Not Run</t>
        </is>
      </c>
      <c r="H53" s="4"/>
    </row>
    <row r="54" ht="22" customHeight="1">
      <c r="A54" t="inlineStr" s="4">
        <is>
          <t>RG-053</t>
        </is>
      </c>
      <c r="B54" t="inlineStr" s="4">
        <is>
          <t>TC-WISATA-BOOKING-017</t>
        </is>
      </c>
      <c r="C54" t="inlineStr" s="4">
        <is>
          <t>Wisata Booking</t>
        </is>
      </c>
      <c r="D54" t="inlineStr" s="4">
        <is>
          <t>Booking email is sent after successful paid order</t>
        </is>
      </c>
      <c r="E54" t="inlineStr" s="4">
        <is>
          <t>P1</t>
        </is>
      </c>
      <c r="F54" t="inlineStr" s="4">
        <is>
          <t>P0/P1 critical path or access/data-integrity risk</t>
        </is>
      </c>
      <c r="G54" t="inlineStr" s="4">
        <is>
          <t>Not Run</t>
        </is>
      </c>
      <c r="H54" s="4"/>
    </row>
    <row r="55" ht="22" customHeight="1">
      <c r="A55" t="inlineStr" s="4">
        <is>
          <t>RG-054</t>
        </is>
      </c>
      <c r="B55" t="inlineStr" s="4">
        <is>
          <t>TC-WISATA-BOOKING-018</t>
        </is>
      </c>
      <c r="C55" t="inlineStr" s="4">
        <is>
          <t>Wisata Booking</t>
        </is>
      </c>
      <c r="D55" t="inlineStr" s="4">
        <is>
          <t>Checkout mobile summary remains readable</t>
        </is>
      </c>
      <c r="E55" t="inlineStr" s="4">
        <is>
          <t>P1</t>
        </is>
      </c>
      <c r="F55" t="inlineStr" s="4">
        <is>
          <t>P0/P1 critical path or access/data-integrity risk</t>
        </is>
      </c>
      <c r="G55" t="inlineStr" s="4">
        <is>
          <t>Not Run</t>
        </is>
      </c>
      <c r="H55" s="4"/>
    </row>
    <row r="56" ht="22" customHeight="1">
      <c r="A56" t="inlineStr" s="4">
        <is>
          <t>RG-055</t>
        </is>
      </c>
      <c r="B56" t="inlineStr" s="4">
        <is>
          <t>TC-WISATA-SCAN-001</t>
        </is>
      </c>
      <c r="C56" t="inlineStr" s="4">
        <is>
          <t>Wisata Scan</t>
        </is>
      </c>
      <c r="D56" t="inlineStr" s="4">
        <is>
          <t>Mitra QR poster page renders QR tab</t>
        </is>
      </c>
      <c r="E56" t="inlineStr" s="4">
        <is>
          <t>P1</t>
        </is>
      </c>
      <c r="F56" t="inlineStr" s="4">
        <is>
          <t>P0/P1 critical path or access/data-integrity risk</t>
        </is>
      </c>
      <c r="G56" t="inlineStr" s="4">
        <is>
          <t>Not Run</t>
        </is>
      </c>
      <c r="H56" s="4"/>
    </row>
    <row r="57" ht="22" customHeight="1">
      <c r="A57" t="inlineStr" s="4">
        <is>
          <t>RG-056</t>
        </is>
      </c>
      <c r="B57" t="inlineStr" s="4">
        <is>
          <t>TC-WISATA-SCAN-002</t>
        </is>
      </c>
      <c r="C57" t="inlineStr" s="4">
        <is>
          <t>Wisata Scan</t>
        </is>
      </c>
      <c r="D57" t="inlineStr" s="4">
        <is>
          <t>Mitra QR PDF download matches poster content</t>
        </is>
      </c>
      <c r="E57" t="inlineStr" s="4">
        <is>
          <t>P1</t>
        </is>
      </c>
      <c r="F57" t="inlineStr" s="4">
        <is>
          <t>P0/P1 critical path or access/data-integrity risk</t>
        </is>
      </c>
      <c r="G57" t="inlineStr" s="4">
        <is>
          <t>Not Run</t>
        </is>
      </c>
      <c r="H57" s="4"/>
    </row>
    <row r="58" ht="22" customHeight="1">
      <c r="A58" t="inlineStr" s="4">
        <is>
          <t>RG-057</t>
        </is>
      </c>
      <c r="B58" t="inlineStr" s="4">
        <is>
          <t>TC-WISATA-SCAN-003</t>
        </is>
      </c>
      <c r="C58" t="inlineStr" s="4">
        <is>
          <t>Wisata Scan</t>
        </is>
      </c>
      <c r="D58" t="inlineStr" s="4">
        <is>
          <t>User scan lookup shows owned paid ticket options</t>
        </is>
      </c>
      <c r="E58" t="inlineStr" s="4">
        <is>
          <t>P1</t>
        </is>
      </c>
      <c r="F58" t="inlineStr" s="4">
        <is>
          <t>P0/P1 critical path or access/data-integrity risk</t>
        </is>
      </c>
      <c r="G58" t="inlineStr" s="4">
        <is>
          <t>Not Run</t>
        </is>
      </c>
      <c r="H58" s="4"/>
    </row>
    <row r="59" ht="22" customHeight="1">
      <c r="A59" t="inlineStr" s="4">
        <is>
          <t>RG-058</t>
        </is>
      </c>
      <c r="B59" t="inlineStr" s="4">
        <is>
          <t>TC-WISATA-SCAN-004</t>
        </is>
      </c>
      <c r="C59" t="inlineStr" s="4">
        <is>
          <t>Wisata Scan</t>
        </is>
      </c>
      <c r="D59" t="inlineStr" s="4">
        <is>
          <t>User cannot manually enter scan code</t>
        </is>
      </c>
      <c r="E59" t="inlineStr" s="4">
        <is>
          <t>P1</t>
        </is>
      </c>
      <c r="F59" t="inlineStr" s="4">
        <is>
          <t>P0/P1 critical path or access/data-integrity risk</t>
        </is>
      </c>
      <c r="G59" t="inlineStr" s="4">
        <is>
          <t>Not Run</t>
        </is>
      </c>
      <c r="H59" s="4"/>
    </row>
    <row r="60" ht="22" customHeight="1">
      <c r="A60" t="inlineStr" s="4">
        <is>
          <t>RG-059</t>
        </is>
      </c>
      <c r="B60" t="inlineStr" s="4">
        <is>
          <t>TC-WISATA-SCAN-005</t>
        </is>
      </c>
      <c r="C60" t="inlineStr" s="4">
        <is>
          <t>Wisata Scan</t>
        </is>
      </c>
      <c r="D60" t="inlineStr" s="4">
        <is>
          <t>Use one ticket item successfully</t>
        </is>
      </c>
      <c r="E60" t="inlineStr" s="4">
        <is>
          <t>P0</t>
        </is>
      </c>
      <c r="F60" t="inlineStr" s="4">
        <is>
          <t>P0/P1 critical path or access/data-integrity risk</t>
        </is>
      </c>
      <c r="G60" t="inlineStr" s="4">
        <is>
          <t>Not Run</t>
        </is>
      </c>
      <c r="H60" s="4"/>
    </row>
    <row r="61" ht="22" customHeight="1">
      <c r="A61" t="inlineStr" s="4">
        <is>
          <t>RG-060</t>
        </is>
      </c>
      <c r="B61" t="inlineStr" s="4">
        <is>
          <t>TC-WISATA-SCAN-006</t>
        </is>
      </c>
      <c r="C61" t="inlineStr" s="4">
        <is>
          <t>Wisata Scan</t>
        </is>
      </c>
      <c r="D61" t="inlineStr" s="4">
        <is>
          <t>Use same ticket item twice is rejected</t>
        </is>
      </c>
      <c r="E61" t="inlineStr" s="4">
        <is>
          <t>P0</t>
        </is>
      </c>
      <c r="F61" t="inlineStr" s="4">
        <is>
          <t>P0/P1 critical path or access/data-integrity risk</t>
        </is>
      </c>
      <c r="G61" t="inlineStr" s="4">
        <is>
          <t>Not Run</t>
        </is>
      </c>
      <c r="H61" s="4"/>
    </row>
    <row r="62" ht="22" customHeight="1">
      <c r="A62" t="inlineStr" s="4">
        <is>
          <t>RG-061</t>
        </is>
      </c>
      <c r="B62" t="inlineStr" s="4">
        <is>
          <t>TC-WISATA-SCAN-007</t>
        </is>
      </c>
      <c r="C62" t="inlineStr" s="4">
        <is>
          <t>Wisata Scan</t>
        </is>
      </c>
      <c r="D62" t="inlineStr" s="4">
        <is>
          <t>User cannot consume another user ticket</t>
        </is>
      </c>
      <c r="E62" t="inlineStr" s="4">
        <is>
          <t>P0</t>
        </is>
      </c>
      <c r="F62" t="inlineStr" s="4">
        <is>
          <t>P0/P1 critical path or access/data-integrity risk</t>
        </is>
      </c>
      <c r="G62" t="inlineStr" s="4">
        <is>
          <t>Not Run</t>
        </is>
      </c>
      <c r="H62" s="4"/>
    </row>
    <row r="63" ht="22" customHeight="1">
      <c r="A63" t="inlineStr" s="4">
        <is>
          <t>RG-062</t>
        </is>
      </c>
      <c r="B63" t="inlineStr" s="4">
        <is>
          <t>TC-WISATA-SCAN-008</t>
        </is>
      </c>
      <c r="C63" t="inlineStr" s="4">
        <is>
          <t>Wisata Scan</t>
        </is>
      </c>
      <c r="D63" t="inlineStr" s="4">
        <is>
          <t>Mitra scan history search filters result</t>
        </is>
      </c>
      <c r="E63" t="inlineStr" s="4">
        <is>
          <t>P1</t>
        </is>
      </c>
      <c r="F63" t="inlineStr" s="4">
        <is>
          <t>P0/P1 critical path or access/data-integrity risk</t>
        </is>
      </c>
      <c r="G63" t="inlineStr" s="4">
        <is>
          <t>Not Run</t>
        </is>
      </c>
      <c r="H63" s="4"/>
    </row>
    <row r="64" ht="22" customHeight="1">
      <c r="A64" t="inlineStr" s="4">
        <is>
          <t>RG-063</t>
        </is>
      </c>
      <c r="B64" t="inlineStr" s="4">
        <is>
          <t>TC-WISATA-SCAN-009</t>
        </is>
      </c>
      <c r="C64" t="inlineStr" s="4">
        <is>
          <t>Wisata Scan</t>
        </is>
      </c>
      <c r="D64" t="inlineStr" s="4">
        <is>
          <t>Admin scan history filters by date/search</t>
        </is>
      </c>
      <c r="E64" t="inlineStr" s="4">
        <is>
          <t>P1</t>
        </is>
      </c>
      <c r="F64" t="inlineStr" s="4">
        <is>
          <t>P0/P1 critical path or access/data-integrity risk</t>
        </is>
      </c>
      <c r="G64" t="inlineStr" s="4">
        <is>
          <t>Not Run</t>
        </is>
      </c>
      <c r="H64" s="4"/>
    </row>
    <row r="65" ht="22" customHeight="1">
      <c r="A65" t="inlineStr" s="4">
        <is>
          <t>RG-064</t>
        </is>
      </c>
      <c r="B65" t="inlineStr" s="4">
        <is>
          <t>TC-WISATA-SCAN-010</t>
        </is>
      </c>
      <c r="C65" t="inlineStr" s="4">
        <is>
          <t>Wisata Scan</t>
        </is>
      </c>
      <c r="D65" t="inlineStr" s="4">
        <is>
          <t>QR remains scannable with Indotix logo</t>
        </is>
      </c>
      <c r="E65" t="inlineStr" s="4">
        <is>
          <t>P1</t>
        </is>
      </c>
      <c r="F65" t="inlineStr" s="4">
        <is>
          <t>P0/P1 critical path or access/data-integrity risk</t>
        </is>
      </c>
      <c r="G65" t="inlineStr" s="4">
        <is>
          <t>Not Run</t>
        </is>
      </c>
      <c r="H65" s="4"/>
    </row>
    <row r="66" ht="22" customHeight="1">
      <c r="A66" t="inlineStr" s="4">
        <is>
          <t>RG-065</t>
        </is>
      </c>
      <c r="B66" t="inlineStr" s="4">
        <is>
          <t>TC-USER-001</t>
        </is>
      </c>
      <c r="C66" t="inlineStr" s="4">
        <is>
          <t>User Account</t>
        </is>
      </c>
      <c r="D66" t="inlineStr" s="4">
        <is>
          <t>Profile update requires name/email/phone</t>
        </is>
      </c>
      <c r="E66" t="inlineStr" s="4">
        <is>
          <t>P1</t>
        </is>
      </c>
      <c r="F66" t="inlineStr" s="4">
        <is>
          <t>P0/P1 critical path or access/data-integrity risk</t>
        </is>
      </c>
      <c r="G66" t="inlineStr" s="4">
        <is>
          <t>Not Run</t>
        </is>
      </c>
      <c r="H66" s="4"/>
    </row>
    <row r="67" ht="22" customHeight="1">
      <c r="A67" t="inlineStr" s="4">
        <is>
          <t>RG-066</t>
        </is>
      </c>
      <c r="B67" t="inlineStr" s="4">
        <is>
          <t>TC-USER-002</t>
        </is>
      </c>
      <c r="C67" t="inlineStr" s="4">
        <is>
          <t>User Account</t>
        </is>
      </c>
      <c r="D67" t="inlineStr" s="4">
        <is>
          <t>Password update requires current password</t>
        </is>
      </c>
      <c r="E67" t="inlineStr" s="4">
        <is>
          <t>P1</t>
        </is>
      </c>
      <c r="F67" t="inlineStr" s="4">
        <is>
          <t>P0/P1 critical path or access/data-integrity risk</t>
        </is>
      </c>
      <c r="G67" t="inlineStr" s="4">
        <is>
          <t>Not Run</t>
        </is>
      </c>
      <c r="H67" s="4"/>
    </row>
    <row r="68" ht="22" customHeight="1">
      <c r="A68" t="inlineStr" s="4">
        <is>
          <t>RG-067</t>
        </is>
      </c>
      <c r="B68" t="inlineStr" s="4">
        <is>
          <t>TC-USER-003</t>
        </is>
      </c>
      <c r="C68" t="inlineStr" s="4">
        <is>
          <t>User Account</t>
        </is>
      </c>
      <c r="D68" t="inlineStr" s="4">
        <is>
          <t>Delete account requires password confirmation</t>
        </is>
      </c>
      <c r="E68" t="inlineStr" s="4">
        <is>
          <t>P1</t>
        </is>
      </c>
      <c r="F68" t="inlineStr" s="4">
        <is>
          <t>P0/P1 critical path or access/data-integrity risk</t>
        </is>
      </c>
      <c r="G68" t="inlineStr" s="4">
        <is>
          <t>Not Run</t>
        </is>
      </c>
      <c r="H68" s="4"/>
    </row>
    <row r="69" ht="22" customHeight="1">
      <c r="A69" t="inlineStr" s="4">
        <is>
          <t>RG-068</t>
        </is>
      </c>
      <c r="B69" t="inlineStr" s="4">
        <is>
          <t>TC-USER-004</t>
        </is>
      </c>
      <c r="C69" t="inlineStr" s="4">
        <is>
          <t>User Account</t>
        </is>
      </c>
      <c r="D69" t="inlineStr" s="4">
        <is>
          <t>Notifications list loads user-only items</t>
        </is>
      </c>
      <c r="E69" t="inlineStr" s="4">
        <is>
          <t>P1</t>
        </is>
      </c>
      <c r="F69" t="inlineStr" s="4">
        <is>
          <t>P0/P1 critical path or access/data-integrity risk</t>
        </is>
      </c>
      <c r="G69" t="inlineStr" s="4">
        <is>
          <t>Not Run</t>
        </is>
      </c>
      <c r="H69" s="4"/>
    </row>
    <row r="70" ht="22" customHeight="1">
      <c r="A70" t="inlineStr" s="4">
        <is>
          <t>RG-069</t>
        </is>
      </c>
      <c r="B70" t="inlineStr" s="4">
        <is>
          <t>TC-USER-005</t>
        </is>
      </c>
      <c r="C70" t="inlineStr" s="4">
        <is>
          <t>User Account</t>
        </is>
      </c>
      <c r="D70" t="inlineStr" s="4">
        <is>
          <t>Mark all notifications read</t>
        </is>
      </c>
      <c r="E70" t="inlineStr" s="4">
        <is>
          <t>P1</t>
        </is>
      </c>
      <c r="F70" t="inlineStr" s="4">
        <is>
          <t>P0/P1 critical path or access/data-integrity risk</t>
        </is>
      </c>
      <c r="G70" t="inlineStr" s="4">
        <is>
          <t>Not Run</t>
        </is>
      </c>
      <c r="H70" s="4"/>
    </row>
    <row r="71" ht="22" customHeight="1">
      <c r="A71" t="inlineStr" s="4">
        <is>
          <t>RG-070</t>
        </is>
      </c>
      <c r="B71" t="inlineStr" s="4">
        <is>
          <t>TC-USER-006</t>
        </is>
      </c>
      <c r="C71" t="inlineStr" s="4">
        <is>
          <t>User Account</t>
        </is>
      </c>
      <c r="D71" t="inlineStr" s="4">
        <is>
          <t>History detail denies other user booking</t>
        </is>
      </c>
      <c r="E71" t="inlineStr" s="4">
        <is>
          <t>P1</t>
        </is>
      </c>
      <c r="F71" t="inlineStr" s="4">
        <is>
          <t>P0/P1 critical path or access/data-integrity risk</t>
        </is>
      </c>
      <c r="G71" t="inlineStr" s="4">
        <is>
          <t>Not Run</t>
        </is>
      </c>
      <c r="H71" s="4"/>
    </row>
    <row r="72" ht="22" customHeight="1">
      <c r="A72" t="inlineStr" s="4">
        <is>
          <t>RG-071</t>
        </is>
      </c>
      <c r="B72" t="inlineStr" s="4">
        <is>
          <t>TC-USER-007</t>
        </is>
      </c>
      <c r="C72" t="inlineStr" s="4">
        <is>
          <t>User Account</t>
        </is>
      </c>
      <c r="D72" t="inlineStr" s="4">
        <is>
          <t>Submit valid review for eligible booking</t>
        </is>
      </c>
      <c r="E72" t="inlineStr" s="4">
        <is>
          <t>P1</t>
        </is>
      </c>
      <c r="F72" t="inlineStr" s="4">
        <is>
          <t>P0/P1 critical path or access/data-integrity risk</t>
        </is>
      </c>
      <c r="G72" t="inlineStr" s="4">
        <is>
          <t>Not Run</t>
        </is>
      </c>
      <c r="H72" s="4"/>
    </row>
    <row r="73" ht="22" customHeight="1">
      <c r="A73" t="inlineStr" s="4">
        <is>
          <t>RG-072</t>
        </is>
      </c>
      <c r="B73" t="inlineStr" s="4">
        <is>
          <t>TC-USER-008</t>
        </is>
      </c>
      <c r="C73" t="inlineStr" s="4">
        <is>
          <t>User Account</t>
        </is>
      </c>
      <c r="D73" t="inlineStr" s="4">
        <is>
          <t>Review upload rejects executable payload</t>
        </is>
      </c>
      <c r="E73" t="inlineStr" s="4">
        <is>
          <t>P1</t>
        </is>
      </c>
      <c r="F73" t="inlineStr" s="4">
        <is>
          <t>P0/P1 critical path or access/data-integrity risk</t>
        </is>
      </c>
      <c r="G73" t="inlineStr" s="4">
        <is>
          <t>Not Run</t>
        </is>
      </c>
      <c r="H73" s="4"/>
    </row>
    <row r="74" ht="22" customHeight="1">
      <c r="A74" t="inlineStr" s="4">
        <is>
          <t>RG-073</t>
        </is>
      </c>
      <c r="B74" t="inlineStr" s="4">
        <is>
          <t>TC-USER-009</t>
        </is>
      </c>
      <c r="C74" t="inlineStr" s="4">
        <is>
          <t>User Account</t>
        </is>
      </c>
      <c r="D74" t="inlineStr" s="4">
        <is>
          <t>Start chat conversation from authenticated user</t>
        </is>
      </c>
      <c r="E74" t="inlineStr" s="4">
        <is>
          <t>P1</t>
        </is>
      </c>
      <c r="F74" t="inlineStr" s="4">
        <is>
          <t>P0/P1 critical path or access/data-integrity risk</t>
        </is>
      </c>
      <c r="G74" t="inlineStr" s="4">
        <is>
          <t>Not Run</t>
        </is>
      </c>
      <c r="H74" s="4"/>
    </row>
    <row r="75" ht="22" customHeight="1">
      <c r="A75" t="inlineStr" s="4">
        <is>
          <t>RG-074</t>
        </is>
      </c>
      <c r="B75" t="inlineStr" s="4">
        <is>
          <t>TC-USER-010</t>
        </is>
      </c>
      <c r="C75" t="inlineStr" s="4">
        <is>
          <t>User Account</t>
        </is>
      </c>
      <c r="D75" t="inlineStr" s="4">
        <is>
          <t>Public delete-account page renders safely</t>
        </is>
      </c>
      <c r="E75" t="inlineStr" s="4">
        <is>
          <t>P1</t>
        </is>
      </c>
      <c r="F75" t="inlineStr" s="4">
        <is>
          <t>P0/P1 critical path or access/data-integrity risk</t>
        </is>
      </c>
      <c r="G75" t="inlineStr" s="4">
        <is>
          <t>Not Run</t>
        </is>
      </c>
      <c r="H75" s="4"/>
    </row>
    <row r="76" ht="22" customHeight="1">
      <c r="A76" t="inlineStr" s="4">
        <is>
          <t>RG-075</t>
        </is>
      </c>
      <c r="B76" t="inlineStr" s="4">
        <is>
          <t>TC-ADMIN-CONTENT-001</t>
        </is>
      </c>
      <c r="C76" t="inlineStr" s="4">
        <is>
          <t>Admin Public Content</t>
        </is>
      </c>
      <c r="D76" t="inlineStr" s="4">
        <is>
          <t>Admin can manage Banner</t>
        </is>
      </c>
      <c r="E76" t="inlineStr" s="4">
        <is>
          <t>P1</t>
        </is>
      </c>
      <c r="F76" t="inlineStr" s="4">
        <is>
          <t>P0/P1 critical path or access/data-integrity risk</t>
        </is>
      </c>
      <c r="G76" t="inlineStr" s="4">
        <is>
          <t>Not Run</t>
        </is>
      </c>
      <c r="H76" s="4"/>
    </row>
    <row r="77" ht="22" customHeight="1">
      <c r="A77" t="inlineStr" s="4">
        <is>
          <t>RG-076</t>
        </is>
      </c>
      <c r="B77" t="inlineStr" s="4">
        <is>
          <t>TC-ADMIN-CONTENT-101</t>
        </is>
      </c>
      <c r="C77" t="inlineStr" s="4">
        <is>
          <t>Admin Public Content</t>
        </is>
      </c>
      <c r="D77" t="inlineStr" s="4">
        <is>
          <t>Banner rejects invalid or oversized input</t>
        </is>
      </c>
      <c r="E77" t="inlineStr" s="4">
        <is>
          <t>P1</t>
        </is>
      </c>
      <c r="F77" t="inlineStr" s="4">
        <is>
          <t>P0/P1 critical path or access/data-integrity risk</t>
        </is>
      </c>
      <c r="G77" t="inlineStr" s="4">
        <is>
          <t>Not Run</t>
        </is>
      </c>
      <c r="H77" s="4"/>
    </row>
    <row r="78" ht="22" customHeight="1">
      <c r="A78" t="inlineStr" s="4">
        <is>
          <t>RG-077</t>
        </is>
      </c>
      <c r="B78" t="inlineStr" s="4">
        <is>
          <t>TC-ADMIN-CONTENT-002</t>
        </is>
      </c>
      <c r="C78" t="inlineStr" s="4">
        <is>
          <t>Admin Public Content</t>
        </is>
      </c>
      <c r="D78" t="inlineStr" s="4">
        <is>
          <t>Admin can manage Partner Kami</t>
        </is>
      </c>
      <c r="E78" t="inlineStr" s="4">
        <is>
          <t>P1</t>
        </is>
      </c>
      <c r="F78" t="inlineStr" s="4">
        <is>
          <t>P0/P1 critical path or access/data-integrity risk</t>
        </is>
      </c>
      <c r="G78" t="inlineStr" s="4">
        <is>
          <t>Not Run</t>
        </is>
      </c>
      <c r="H78" s="4"/>
    </row>
    <row r="79" ht="22" customHeight="1">
      <c r="A79" t="inlineStr" s="4">
        <is>
          <t>RG-078</t>
        </is>
      </c>
      <c r="B79" t="inlineStr" s="4">
        <is>
          <t>TC-ADMIN-CONTENT-102</t>
        </is>
      </c>
      <c r="C79" t="inlineStr" s="4">
        <is>
          <t>Admin Public Content</t>
        </is>
      </c>
      <c r="D79" t="inlineStr" s="4">
        <is>
          <t>Partner Kami rejects invalid or oversized input</t>
        </is>
      </c>
      <c r="E79" t="inlineStr" s="4">
        <is>
          <t>P1</t>
        </is>
      </c>
      <c r="F79" t="inlineStr" s="4">
        <is>
          <t>P0/P1 critical path or access/data-integrity risk</t>
        </is>
      </c>
      <c r="G79" t="inlineStr" s="4">
        <is>
          <t>Not Run</t>
        </is>
      </c>
      <c r="H79" s="4"/>
    </row>
    <row r="80" ht="22" customHeight="1">
      <c r="A80" t="inlineStr" s="4">
        <is>
          <t>RG-079</t>
        </is>
      </c>
      <c r="B80" t="inlineStr" s="4">
        <is>
          <t>TC-ADMIN-CONTENT-003</t>
        </is>
      </c>
      <c r="C80" t="inlineStr" s="4">
        <is>
          <t>Admin Public Content</t>
        </is>
      </c>
      <c r="D80" t="inlineStr" s="4">
        <is>
          <t>Admin can manage Part Of Logo</t>
        </is>
      </c>
      <c r="E80" t="inlineStr" s="4">
        <is>
          <t>P1</t>
        </is>
      </c>
      <c r="F80" t="inlineStr" s="4">
        <is>
          <t>P0/P1 critical path or access/data-integrity risk</t>
        </is>
      </c>
      <c r="G80" t="inlineStr" s="4">
        <is>
          <t>Not Run</t>
        </is>
      </c>
      <c r="H80" s="4"/>
    </row>
    <row r="81" ht="22" customHeight="1">
      <c r="A81" t="inlineStr" s="4">
        <is>
          <t>RG-080</t>
        </is>
      </c>
      <c r="B81" t="inlineStr" s="4">
        <is>
          <t>TC-ADMIN-CONTENT-103</t>
        </is>
      </c>
      <c r="C81" t="inlineStr" s="4">
        <is>
          <t>Admin Public Content</t>
        </is>
      </c>
      <c r="D81" t="inlineStr" s="4">
        <is>
          <t>Part Of Logo rejects invalid or oversized input</t>
        </is>
      </c>
      <c r="E81" t="inlineStr" s="4">
        <is>
          <t>P1</t>
        </is>
      </c>
      <c r="F81" t="inlineStr" s="4">
        <is>
          <t>P0/P1 critical path or access/data-integrity risk</t>
        </is>
      </c>
      <c r="G81" t="inlineStr" s="4">
        <is>
          <t>Not Run</t>
        </is>
      </c>
      <c r="H81" s="4"/>
    </row>
    <row r="82" ht="22" customHeight="1">
      <c r="A82" t="inlineStr" s="4">
        <is>
          <t>RG-081</t>
        </is>
      </c>
      <c r="B82" t="inlineStr" s="4">
        <is>
          <t>TC-ADMIN-CONTENT-004</t>
        </is>
      </c>
      <c r="C82" t="inlineStr" s="4">
        <is>
          <t>Admin Public Content</t>
        </is>
      </c>
      <c r="D82" t="inlineStr" s="4">
        <is>
          <t>Admin can manage Promo Item</t>
        </is>
      </c>
      <c r="E82" t="inlineStr" s="4">
        <is>
          <t>P1</t>
        </is>
      </c>
      <c r="F82" t="inlineStr" s="4">
        <is>
          <t>P0/P1 critical path or access/data-integrity risk</t>
        </is>
      </c>
      <c r="G82" t="inlineStr" s="4">
        <is>
          <t>Not Run</t>
        </is>
      </c>
      <c r="H82" s="4"/>
    </row>
    <row r="83" ht="22" customHeight="1">
      <c r="A83" t="inlineStr" s="4">
        <is>
          <t>RG-082</t>
        </is>
      </c>
      <c r="B83" t="inlineStr" s="4">
        <is>
          <t>TC-ADMIN-CONTENT-104</t>
        </is>
      </c>
      <c r="C83" t="inlineStr" s="4">
        <is>
          <t>Admin Public Content</t>
        </is>
      </c>
      <c r="D83" t="inlineStr" s="4">
        <is>
          <t>Promo Item rejects invalid or oversized input</t>
        </is>
      </c>
      <c r="E83" t="inlineStr" s="4">
        <is>
          <t>P1</t>
        </is>
      </c>
      <c r="F83" t="inlineStr" s="4">
        <is>
          <t>P0/P1 critical path or access/data-integrity risk</t>
        </is>
      </c>
      <c r="G83" t="inlineStr" s="4">
        <is>
          <t>Not Run</t>
        </is>
      </c>
      <c r="H83" s="4"/>
    </row>
    <row r="84" ht="22" customHeight="1">
      <c r="A84" t="inlineStr" s="4">
        <is>
          <t>RG-083</t>
        </is>
      </c>
      <c r="B84" t="inlineStr" s="4">
        <is>
          <t>TC-ADMIN-CONTENT-005</t>
        </is>
      </c>
      <c r="C84" t="inlineStr" s="4">
        <is>
          <t>Admin Public Content</t>
        </is>
      </c>
      <c r="D84" t="inlineStr" s="4">
        <is>
          <t>Admin can manage Promo Video</t>
        </is>
      </c>
      <c r="E84" t="inlineStr" s="4">
        <is>
          <t>P1</t>
        </is>
      </c>
      <c r="F84" t="inlineStr" s="4">
        <is>
          <t>P0/P1 critical path or access/data-integrity risk</t>
        </is>
      </c>
      <c r="G84" t="inlineStr" s="4">
        <is>
          <t>Not Run</t>
        </is>
      </c>
      <c r="H84" s="4"/>
    </row>
    <row r="85" ht="22" customHeight="1">
      <c r="A85" t="inlineStr" s="4">
        <is>
          <t>RG-084</t>
        </is>
      </c>
      <c r="B85" t="inlineStr" s="4">
        <is>
          <t>TC-ADMIN-CONTENT-105</t>
        </is>
      </c>
      <c r="C85" t="inlineStr" s="4">
        <is>
          <t>Admin Public Content</t>
        </is>
      </c>
      <c r="D85" t="inlineStr" s="4">
        <is>
          <t>Promo Video rejects invalid or oversized input</t>
        </is>
      </c>
      <c r="E85" t="inlineStr" s="4">
        <is>
          <t>P1</t>
        </is>
      </c>
      <c r="F85" t="inlineStr" s="4">
        <is>
          <t>P0/P1 critical path or access/data-integrity risk</t>
        </is>
      </c>
      <c r="G85" t="inlineStr" s="4">
        <is>
          <t>Not Run</t>
        </is>
      </c>
      <c r="H85" s="4"/>
    </row>
    <row r="86" ht="22" customHeight="1">
      <c r="A86" t="inlineStr" s="4">
        <is>
          <t>RG-085</t>
        </is>
      </c>
      <c r="B86" t="inlineStr" s="4">
        <is>
          <t>TC-ADMIN-CONTENT-006</t>
        </is>
      </c>
      <c r="C86" t="inlineStr" s="4">
        <is>
          <t>Admin Public Content</t>
        </is>
      </c>
      <c r="D86" t="inlineStr" s="4">
        <is>
          <t>Admin can manage FAQ</t>
        </is>
      </c>
      <c r="E86" t="inlineStr" s="4">
        <is>
          <t>P1</t>
        </is>
      </c>
      <c r="F86" t="inlineStr" s="4">
        <is>
          <t>P0/P1 critical path or access/data-integrity risk</t>
        </is>
      </c>
      <c r="G86" t="inlineStr" s="4">
        <is>
          <t>Not Run</t>
        </is>
      </c>
      <c r="H86" s="4"/>
    </row>
    <row r="87" ht="22" customHeight="1">
      <c r="A87" t="inlineStr" s="4">
        <is>
          <t>RG-086</t>
        </is>
      </c>
      <c r="B87" t="inlineStr" s="4">
        <is>
          <t>TC-ADMIN-CONTENT-106</t>
        </is>
      </c>
      <c r="C87" t="inlineStr" s="4">
        <is>
          <t>Admin Public Content</t>
        </is>
      </c>
      <c r="D87" t="inlineStr" s="4">
        <is>
          <t>FAQ rejects invalid or oversized input</t>
        </is>
      </c>
      <c r="E87" t="inlineStr" s="4">
        <is>
          <t>P1</t>
        </is>
      </c>
      <c r="F87" t="inlineStr" s="4">
        <is>
          <t>P0/P1 critical path or access/data-integrity risk</t>
        </is>
      </c>
      <c r="G87" t="inlineStr" s="4">
        <is>
          <t>Not Run</t>
        </is>
      </c>
      <c r="H87" s="4"/>
    </row>
    <row r="88" ht="22" customHeight="1">
      <c r="A88" t="inlineStr" s="4">
        <is>
          <t>RG-087</t>
        </is>
      </c>
      <c r="B88" t="inlineStr" s="4">
        <is>
          <t>TC-ADMIN-CONTENT-007</t>
        </is>
      </c>
      <c r="C88" t="inlineStr" s="4">
        <is>
          <t>Admin Public Content</t>
        </is>
      </c>
      <c r="D88" t="inlineStr" s="4">
        <is>
          <t>Admin can manage Contact</t>
        </is>
      </c>
      <c r="E88" t="inlineStr" s="4">
        <is>
          <t>P1</t>
        </is>
      </c>
      <c r="F88" t="inlineStr" s="4">
        <is>
          <t>P0/P1 critical path or access/data-integrity risk</t>
        </is>
      </c>
      <c r="G88" t="inlineStr" s="4">
        <is>
          <t>Not Run</t>
        </is>
      </c>
      <c r="H88" s="4"/>
    </row>
    <row r="89" ht="22" customHeight="1">
      <c r="A89" t="inlineStr" s="4">
        <is>
          <t>RG-088</t>
        </is>
      </c>
      <c r="B89" t="inlineStr" s="4">
        <is>
          <t>TC-ADMIN-CONTENT-107</t>
        </is>
      </c>
      <c r="C89" t="inlineStr" s="4">
        <is>
          <t>Admin Public Content</t>
        </is>
      </c>
      <c r="D89" t="inlineStr" s="4">
        <is>
          <t>Contact rejects invalid or oversized input</t>
        </is>
      </c>
      <c r="E89" t="inlineStr" s="4">
        <is>
          <t>P1</t>
        </is>
      </c>
      <c r="F89" t="inlineStr" s="4">
        <is>
          <t>P0/P1 critical path or access/data-integrity risk</t>
        </is>
      </c>
      <c r="G89" t="inlineStr" s="4">
        <is>
          <t>Not Run</t>
        </is>
      </c>
      <c r="H89" s="4"/>
    </row>
    <row r="90" ht="22" customHeight="1">
      <c r="A90" t="inlineStr" s="4">
        <is>
          <t>RG-089</t>
        </is>
      </c>
      <c r="B90" t="inlineStr" s="4">
        <is>
          <t>TC-ADMIN-CONTENT-008</t>
        </is>
      </c>
      <c r="C90" t="inlineStr" s="4">
        <is>
          <t>Admin Public Content</t>
        </is>
      </c>
      <c r="D90" t="inlineStr" s="4">
        <is>
          <t>Admin can manage About</t>
        </is>
      </c>
      <c r="E90" t="inlineStr" s="4">
        <is>
          <t>P1</t>
        </is>
      </c>
      <c r="F90" t="inlineStr" s="4">
        <is>
          <t>P0/P1 critical path or access/data-integrity risk</t>
        </is>
      </c>
      <c r="G90" t="inlineStr" s="4">
        <is>
          <t>Not Run</t>
        </is>
      </c>
      <c r="H90" s="4"/>
    </row>
    <row r="91" ht="22" customHeight="1">
      <c r="A91" t="inlineStr" s="4">
        <is>
          <t>RG-090</t>
        </is>
      </c>
      <c r="B91" t="inlineStr" s="4">
        <is>
          <t>TC-ADMIN-CONTENT-108</t>
        </is>
      </c>
      <c r="C91" t="inlineStr" s="4">
        <is>
          <t>Admin Public Content</t>
        </is>
      </c>
      <c r="D91" t="inlineStr" s="4">
        <is>
          <t>About rejects invalid or oversized input</t>
        </is>
      </c>
      <c r="E91" t="inlineStr" s="4">
        <is>
          <t>P1</t>
        </is>
      </c>
      <c r="F91" t="inlineStr" s="4">
        <is>
          <t>P0/P1 critical path or access/data-integrity risk</t>
        </is>
      </c>
      <c r="G91" t="inlineStr" s="4">
        <is>
          <t>Not Run</t>
        </is>
      </c>
      <c r="H91" s="4"/>
    </row>
  </sheetData>
  <autoFilter ref="A1:H91"/>
  <conditionalFormatting sqref="E2:E1000">
    <cfRule type="containsText" priority="6" operator="containsText" text="P0" dxfId="5">
      <formula>NOT(ISERROR(SEARCH("P0",E2)))</formula>
    </cfRule>
    <cfRule type="containsText" priority="7" operator="containsText" text="P1" dxfId="6">
      <formula>NOT(ISERROR(SEARCH("P1",E2)))</formula>
    </cfRule>
    <cfRule type="containsText" priority="8" operator="containsText" text="P2" dxfId="7">
      <formula>NOT(ISERROR(SEARCH("P2",E2)))</formula>
    </cfRule>
    <cfRule type="containsText" priority="9" operator="containsText" text="P3" dxfId="8">
      <formula>NOT(ISERROR(SEARCH("P3",E2)))</formula>
    </cfRule>
  </conditionalFormatting>
  <conditionalFormatting sqref="G2:G1000">
    <cfRule type="containsText" priority="1" operator="containsText" text="Passed" dxfId="0">
      <formula>NOT(ISERROR(SEARCH("Passed",G2)))</formula>
    </cfRule>
    <cfRule type="containsText" priority="2" operator="containsText" text="Failed" dxfId="1">
      <formula>NOT(ISERROR(SEARCH("Failed",G2)))</formula>
    </cfRule>
    <cfRule type="containsText" priority="3" operator="containsText" text="Blocked" dxfId="2">
      <formula>NOT(ISERROR(SEARCH("Blocked",G2)))</formula>
    </cfRule>
    <cfRule type="containsText" priority="4" operator="containsText" text="Retest" dxfId="3">
      <formula>NOT(ISERROR(SEARCH("Retest",G2)))</formula>
    </cfRule>
    <cfRule type="containsText" priority="5" operator="containsText" text="Not Run" dxfId="4">
      <formula>NOT(ISERROR(SEARCH("Not Run",G2)))</formula>
    </cfRule>
  </conditionalFormatting>
  <dataValidations count="2">
    <dataValidation type="list" allowBlank="1" showErrorMessage="1" sqref="G2:G1000">
      <formula1>"Not Run,Passed,Failed,Blocked,Retest,Skipped,N/A"</formula1>
    </dataValidation>
    <dataValidation type="list" allowBlank="1" showErrorMessage="1" sqref="E2:E1000">
      <formula1>"P0,P1,P2,P3"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22" customWidth="1"/>
    <col min="3" max="3" width="44" customWidth="1"/>
    <col min="4" max="4" width="64" customWidth="1"/>
    <col min="5" max="5" width="12" customWidth="1"/>
    <col min="6" max="6" width="14" customWidth="1"/>
    <col min="7" max="7" width="30" customWidth="1"/>
  </cols>
  <sheetData>
    <row r="1" ht="28" customHeight="1">
      <c r="A1" t="inlineStr" s="2">
        <is>
          <t>Smoke ID</t>
        </is>
      </c>
      <c r="B1" t="inlineStr" s="2">
        <is>
          <t>Module</t>
        </is>
      </c>
      <c r="C1" t="inlineStr" s="2">
        <is>
          <t>Test</t>
        </is>
      </c>
      <c r="D1" t="inlineStr" s="2">
        <is>
          <t>Expected Result</t>
        </is>
      </c>
      <c r="E1" t="inlineStr" s="2">
        <is>
          <t>Priority</t>
        </is>
      </c>
      <c r="F1" t="inlineStr" s="2">
        <is>
          <t>Status</t>
        </is>
      </c>
      <c r="G1" t="inlineStr" s="2">
        <is>
          <t>Notes</t>
        </is>
      </c>
    </row>
    <row r="2" ht="22" customHeight="1">
      <c r="A2" t="inlineStr" s="4">
        <is>
          <t>SMK-001</t>
        </is>
      </c>
      <c r="B2" t="inlineStr" s="4">
        <is>
          <t>Public Home</t>
        </is>
      </c>
      <c r="C2" t="inlineStr" s="4">
        <is>
          <t>Open homepage /</t>
        </is>
      </c>
      <c r="D2" t="inlineStr" s="4">
        <is>
          <t>Homepage returns 200 and renders banner/category/promo sections.</t>
        </is>
      </c>
      <c r="E2" t="inlineStr" s="4">
        <is>
          <t>P0</t>
        </is>
      </c>
      <c r="F2" t="inlineStr" s="4">
        <is>
          <t>Not Run</t>
        </is>
      </c>
      <c r="G2" s="4"/>
    </row>
    <row r="3" ht="22" customHeight="1">
      <c r="A3" t="inlineStr" s="4">
        <is>
          <t>SMK-002</t>
        </is>
      </c>
      <c r="B3" t="inlineStr" s="4">
        <is>
          <t>Public Catalog</t>
        </is>
      </c>
      <c r="C3" t="inlineStr" s="4">
        <is>
          <t>Open /wisata</t>
        </is>
      </c>
      <c r="D3" t="inlineStr" s="4">
        <is>
          <t>Wisata listing returns 200 with no horizontal overflow in desktop/mobile smoke.</t>
        </is>
      </c>
      <c r="E3" t="inlineStr" s="4">
        <is>
          <t>P0</t>
        </is>
      </c>
      <c r="F3" t="inlineStr" s="4">
        <is>
          <t>Not Run</t>
        </is>
      </c>
      <c r="G3" s="4"/>
    </row>
    <row r="4" ht="22" customHeight="1">
      <c r="A4" t="inlineStr" s="4">
        <is>
          <t>SMK-003</t>
        </is>
      </c>
      <c r="B4" t="inlineStr" s="4">
        <is>
          <t>Wisata Detail</t>
        </is>
      </c>
      <c r="C4" t="inlineStr" s="4">
        <is>
          <t>Open a live destination detail</t>
        </is>
      </c>
      <c r="D4" t="inlineStr" s="4">
        <is>
          <t>Detail page loads with ticket availability state.</t>
        </is>
      </c>
      <c r="E4" t="inlineStr" s="4">
        <is>
          <t>P0</t>
        </is>
      </c>
      <c r="F4" t="inlineStr" s="4">
        <is>
          <t>Not Run</t>
        </is>
      </c>
      <c r="G4" s="4"/>
    </row>
    <row r="5" ht="22" customHeight="1">
      <c r="A5" t="inlineStr" s="4">
        <is>
          <t>SMK-004</t>
        </is>
      </c>
      <c r="B5" t="inlineStr" s="4">
        <is>
          <t>Authentication</t>
        </is>
      </c>
      <c r="C5" t="inlineStr" s="4">
        <is>
          <t>Login valid user</t>
        </is>
      </c>
      <c r="D5" t="inlineStr" s="4">
        <is>
          <t>User can authenticate and reach user flow.</t>
        </is>
      </c>
      <c r="E5" t="inlineStr" s="4">
        <is>
          <t>P0</t>
        </is>
      </c>
      <c r="F5" t="inlineStr" s="4">
        <is>
          <t>Not Run</t>
        </is>
      </c>
      <c r="G5" s="4"/>
    </row>
    <row r="6" ht="22" customHeight="1">
      <c r="A6" t="inlineStr" s="4">
        <is>
          <t>SMK-005</t>
        </is>
      </c>
      <c r="B6" t="inlineStr" s="4">
        <is>
          <t>Booking</t>
        </is>
      </c>
      <c r="C6" t="inlineStr" s="4">
        <is>
          <t>Prepare wisata booking</t>
        </is>
      </c>
      <c r="D6" t="inlineStr" s="4">
        <is>
          <t>User can reach booking review for valid ticket.</t>
        </is>
      </c>
      <c r="E6" t="inlineStr" s="4">
        <is>
          <t>P0</t>
        </is>
      </c>
      <c r="F6" t="inlineStr" s="4">
        <is>
          <t>Not Run</t>
        </is>
      </c>
      <c r="G6" s="4"/>
    </row>
    <row r="7" ht="22" customHeight="1">
      <c r="A7" t="inlineStr" s="4">
        <is>
          <t>SMK-006</t>
        </is>
      </c>
      <c r="B7" t="inlineStr" s="4">
        <is>
          <t>Admin</t>
        </is>
      </c>
      <c r="C7" t="inlineStr" s="4">
        <is>
          <t>Open admin dashboard</t>
        </is>
      </c>
      <c r="D7" t="inlineStr" s="4">
        <is>
          <t>Admin dashboard returns 200 and shows wisata-focused metrics.</t>
        </is>
      </c>
      <c r="E7" t="inlineStr" s="4">
        <is>
          <t>P0</t>
        </is>
      </c>
      <c r="F7" t="inlineStr" s="4">
        <is>
          <t>Not Run</t>
        </is>
      </c>
      <c r="G7" s="4"/>
    </row>
    <row r="8" ht="22" customHeight="1">
      <c r="A8" t="inlineStr" s="4">
        <is>
          <t>SMK-007</t>
        </is>
      </c>
      <c r="B8" t="inlineStr" s="4">
        <is>
          <t>Admin Wisata</t>
        </is>
      </c>
      <c r="C8" t="inlineStr" s="4">
        <is>
          <t>Open admin wisata destinations</t>
        </is>
      </c>
      <c r="D8" t="inlineStr" s="4">
        <is>
          <t>Destination table/page is usable.</t>
        </is>
      </c>
      <c r="E8" t="inlineStr" s="4">
        <is>
          <t>P0</t>
        </is>
      </c>
      <c r="F8" t="inlineStr" s="4">
        <is>
          <t>Not Run</t>
        </is>
      </c>
      <c r="G8" s="4"/>
    </row>
    <row r="9" ht="22" customHeight="1">
      <c r="A9" t="inlineStr" s="4">
        <is>
          <t>SMK-008</t>
        </is>
      </c>
      <c r="B9" t="inlineStr" s="4">
        <is>
          <t>Admin Voucher</t>
        </is>
      </c>
      <c r="C9" t="inlineStr" s="4">
        <is>
          <t>Open /admin/wisata/vouchers</t>
        </is>
      </c>
      <c r="D9" t="inlineStr" s="4">
        <is>
          <t>Voucher modal/list is usable.</t>
        </is>
      </c>
      <c r="E9" t="inlineStr" s="4">
        <is>
          <t>P1</t>
        </is>
      </c>
      <c r="F9" t="inlineStr" s="4">
        <is>
          <t>Not Run</t>
        </is>
      </c>
      <c r="G9" s="4"/>
    </row>
    <row r="10" ht="22" customHeight="1">
      <c r="A10" t="inlineStr" s="4">
        <is>
          <t>SMK-009</t>
        </is>
      </c>
      <c r="B10" t="inlineStr" s="4">
        <is>
          <t>Mitra Dashboard</t>
        </is>
      </c>
      <c r="C10" t="inlineStr" s="4">
        <is>
          <t>Open mitra dashboard</t>
        </is>
      </c>
      <c r="D10" t="inlineStr" s="4">
        <is>
          <t>Mitra dashboard loads for verified wisata partner.</t>
        </is>
      </c>
      <c r="E10" t="inlineStr" s="4">
        <is>
          <t>P0</t>
        </is>
      </c>
      <c r="F10" t="inlineStr" s="4">
        <is>
          <t>Not Run</t>
        </is>
      </c>
      <c r="G10" s="4"/>
    </row>
    <row r="11" ht="22" customHeight="1">
      <c r="A11" t="inlineStr" s="4">
        <is>
          <t>SMK-010</t>
        </is>
      </c>
      <c r="B11" t="inlineStr" s="4">
        <is>
          <t>Mitra QR</t>
        </is>
      </c>
      <c r="C11" t="inlineStr" s="4">
        <is>
          <t>Open /mitra/wisata/scans?tab=qr</t>
        </is>
      </c>
      <c r="D11" t="inlineStr" s="4">
        <is>
          <t>QR tab renders poster preview and download action.</t>
        </is>
      </c>
      <c r="E11" t="inlineStr" s="4">
        <is>
          <t>P1</t>
        </is>
      </c>
      <c r="F11" t="inlineStr" s="4">
        <is>
          <t>Not Run</t>
        </is>
      </c>
      <c r="G11" s="4"/>
    </row>
    <row r="12" ht="22" customHeight="1">
      <c r="A12" t="inlineStr" s="4">
        <is>
          <t>SMK-011</t>
        </is>
      </c>
      <c r="B12" t="inlineStr" s="4">
        <is>
          <t>Mobile API</t>
        </is>
      </c>
      <c r="C12" t="inlineStr" s="4">
        <is>
          <t>GET /api/discovery/metadata</t>
        </is>
      </c>
      <c r="D12" t="inlineStr" s="4">
        <is>
          <t>API returns wisata-only metadata.</t>
        </is>
      </c>
      <c r="E12" t="inlineStr" s="4">
        <is>
          <t>P1</t>
        </is>
      </c>
      <c r="F12" t="inlineStr" s="4">
        <is>
          <t>Not Run</t>
        </is>
      </c>
      <c r="G12" s="4"/>
    </row>
    <row r="13" ht="22" customHeight="1">
      <c r="A13" t="inlineStr" s="4">
        <is>
          <t>SMK-012</t>
        </is>
      </c>
      <c r="B13" t="inlineStr" s="4">
        <is>
          <t>Security</t>
        </is>
      </c>
      <c r="C13" t="inlineStr" s="4">
        <is>
          <t>Open retired /events route</t>
        </is>
      </c>
      <c r="D13" t="inlineStr" s="4">
        <is>
          <t>Retired route is blocked.</t>
        </is>
      </c>
      <c r="E13" t="inlineStr" s="4">
        <is>
          <t>P1</t>
        </is>
      </c>
      <c r="F13" t="inlineStr" s="4">
        <is>
          <t>Not Run</t>
        </is>
      </c>
      <c r="G13" s="4"/>
    </row>
  </sheetData>
  <autoFilter ref="A1:G13"/>
  <conditionalFormatting sqref="E2:E1000">
    <cfRule type="containsText" priority="6" operator="containsText" text="P0" dxfId="5">
      <formula>NOT(ISERROR(SEARCH("P0",E2)))</formula>
    </cfRule>
    <cfRule type="containsText" priority="7" operator="containsText" text="P1" dxfId="6">
      <formula>NOT(ISERROR(SEARCH("P1",E2)))</formula>
    </cfRule>
    <cfRule type="containsText" priority="8" operator="containsText" text="P2" dxfId="7">
      <formula>NOT(ISERROR(SEARCH("P2",E2)))</formula>
    </cfRule>
    <cfRule type="containsText" priority="9" operator="containsText" text="P3" dxfId="8">
      <formula>NOT(ISERROR(SEARCH("P3",E2)))</formula>
    </cfRule>
  </conditionalFormatting>
  <conditionalFormatting sqref="F2:F1000">
    <cfRule type="containsText" priority="1" operator="containsText" text="Passed" dxfId="0">
      <formula>NOT(ISERROR(SEARCH("Passed",F2)))</formula>
    </cfRule>
    <cfRule type="containsText" priority="2" operator="containsText" text="Failed" dxfId="1">
      <formula>NOT(ISERROR(SEARCH("Failed",F2)))</formula>
    </cfRule>
    <cfRule type="containsText" priority="3" operator="containsText" text="Blocked" dxfId="2">
      <formula>NOT(ISERROR(SEARCH("Blocked",F2)))</formula>
    </cfRule>
    <cfRule type="containsText" priority="4" operator="containsText" text="Retest" dxfId="3">
      <formula>NOT(ISERROR(SEARCH("Retest",F2)))</formula>
    </cfRule>
    <cfRule type="containsText" priority="5" operator="containsText" text="Not Run" dxfId="4">
      <formula>NOT(ISERROR(SEARCH("Not Run",F2)))</formula>
    </cfRule>
  </conditionalFormatting>
  <dataValidations count="2">
    <dataValidation type="list" allowBlank="1" showErrorMessage="1" sqref="F2:F1000">
      <formula1>"Not Run,Passed,Failed,Blocked,Retest,Skipped,N/A"</formula1>
    </dataValidation>
    <dataValidation type="list" allowBlank="1" showErrorMessage="1" sqref="E2:E1000">
      <formula1>"P0,P1,P2,P3"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" customWidth="1"/>
    <col min="2" max="2" width="14" customWidth="1"/>
    <col min="3" max="3" width="14" customWidth="1"/>
    <col min="4" max="4" width="14" customWidth="1"/>
    <col min="5" max="5" width="14" customWidth="1"/>
    <col min="6" max="6" width="22" customWidth="1"/>
    <col min="7" max="7" width="58" customWidth="1"/>
  </cols>
  <sheetData>
    <row r="1" ht="28" customHeight="1">
      <c r="A1" t="inlineStr" s="2">
        <is>
          <t>Feature / Route</t>
        </is>
      </c>
      <c r="B1" t="inlineStr" s="2">
        <is>
          <t>Guest</t>
        </is>
      </c>
      <c r="C1" t="inlineStr" s="2">
        <is>
          <t>User</t>
        </is>
      </c>
      <c r="D1" t="inlineStr" s="2">
        <is>
          <t>Admin</t>
        </is>
      </c>
      <c r="E1" t="inlineStr" s="2">
        <is>
          <t>Mitra</t>
        </is>
      </c>
      <c r="F1" t="inlineStr" s="2">
        <is>
          <t>Custom Admin / Staff</t>
        </is>
      </c>
      <c r="G1" t="inlineStr" s="2">
        <is>
          <t>Expected Enforcement</t>
        </is>
      </c>
    </row>
    <row r="2" ht="22" customHeight="1">
      <c r="A2" t="inlineStr" s="4">
        <is>
          <t>Home /</t>
        </is>
      </c>
      <c r="B2" t="inlineStr" s="4">
        <is>
          <t>Allowed</t>
        </is>
      </c>
      <c r="C2" t="inlineStr" s="4">
        <is>
          <t>Allowed</t>
        </is>
      </c>
      <c r="D2" t="inlineStr" s="4">
        <is>
          <t>Allowed</t>
        </is>
      </c>
      <c r="E2" t="inlineStr" s="4">
        <is>
          <t>Allowed</t>
        </is>
      </c>
      <c r="F2" t="inlineStr" s="4">
        <is>
          <t>Allowed</t>
        </is>
      </c>
      <c r="G2" t="inlineStr" s="4">
        <is>
          <t>Public route; no auth required</t>
        </is>
      </c>
    </row>
    <row r="3" ht="22" customHeight="1">
      <c r="A3" t="inlineStr" s="4">
        <is>
          <t>Promo /promo</t>
        </is>
      </c>
      <c r="B3" t="inlineStr" s="4">
        <is>
          <t>Allowed</t>
        </is>
      </c>
      <c r="C3" t="inlineStr" s="4">
        <is>
          <t>Allowed</t>
        </is>
      </c>
      <c r="D3" t="inlineStr" s="4">
        <is>
          <t>Allowed</t>
        </is>
      </c>
      <c r="E3" t="inlineStr" s="4">
        <is>
          <t>Allowed</t>
        </is>
      </c>
      <c r="F3" t="inlineStr" s="4">
        <is>
          <t>Allowed</t>
        </is>
      </c>
      <c r="G3" t="inlineStr" s="4">
        <is>
          <t>Public promo discovery</t>
        </is>
      </c>
    </row>
    <row r="4" ht="22" customHeight="1">
      <c r="A4" t="inlineStr" s="4">
        <is>
          <t>Wisata catalog /wisata</t>
        </is>
      </c>
      <c r="B4" t="inlineStr" s="4">
        <is>
          <t>Allowed</t>
        </is>
      </c>
      <c r="C4" t="inlineStr" s="4">
        <is>
          <t>Allowed</t>
        </is>
      </c>
      <c r="D4" t="inlineStr" s="4">
        <is>
          <t>Allowed</t>
        </is>
      </c>
      <c r="E4" t="inlineStr" s="4">
        <is>
          <t>Allowed</t>
        </is>
      </c>
      <c r="F4" t="inlineStr" s="4">
        <is>
          <t>Allowed</t>
        </is>
      </c>
      <c r="G4" t="inlineStr" s="4">
        <is>
          <t>Public listing</t>
        </is>
      </c>
    </row>
    <row r="5" ht="22" customHeight="1">
      <c r="A5" t="inlineStr" s="4">
        <is>
          <t>Wisata checkout /wisata/booking/review</t>
        </is>
      </c>
      <c r="B5" t="inlineStr" s="4">
        <is>
          <t>Denied</t>
        </is>
      </c>
      <c r="C5" t="inlineStr" s="4">
        <is>
          <t>Allowed</t>
        </is>
      </c>
      <c r="D5" t="inlineStr" s="4">
        <is>
          <t>Denied</t>
        </is>
      </c>
      <c r="E5" t="inlineStr" s="4">
        <is>
          <t>Denied</t>
        </is>
      </c>
      <c r="F5" t="inlineStr" s="4">
        <is>
          <t>Denied</t>
        </is>
      </c>
      <c r="G5" t="inlineStr" s="4">
        <is>
          <t>Requires user role with booking draft</t>
        </is>
      </c>
    </row>
    <row r="6" ht="22" customHeight="1">
      <c r="A6" t="inlineStr" s="4">
        <is>
          <t>User history /history</t>
        </is>
      </c>
      <c r="B6" t="inlineStr" s="4">
        <is>
          <t>Denied</t>
        </is>
      </c>
      <c r="C6" t="inlineStr" s="4">
        <is>
          <t>Allowed</t>
        </is>
      </c>
      <c r="D6" t="inlineStr" s="4">
        <is>
          <t>Denied</t>
        </is>
      </c>
      <c r="E6" t="inlineStr" s="4">
        <is>
          <t>Denied</t>
        </is>
      </c>
      <c r="F6" t="inlineStr" s="4">
        <is>
          <t>Denied</t>
        </is>
      </c>
      <c r="G6" t="inlineStr" s="4">
        <is>
          <t>Auth user-owned data</t>
        </is>
      </c>
    </row>
    <row r="7" ht="22" customHeight="1">
      <c r="A7" t="inlineStr" s="4">
        <is>
          <t>Ticket scan /tickets/scan</t>
        </is>
      </c>
      <c r="B7" t="inlineStr" s="4">
        <is>
          <t>Denied</t>
        </is>
      </c>
      <c r="C7" t="inlineStr" s="4">
        <is>
          <t>Allowed</t>
        </is>
      </c>
      <c r="D7" t="inlineStr" s="4">
        <is>
          <t>Denied</t>
        </is>
      </c>
      <c r="E7" t="inlineStr" s="4">
        <is>
          <t>Denied</t>
        </is>
      </c>
      <c r="F7" t="inlineStr" s="4">
        <is>
          <t>Denied</t>
        </is>
      </c>
      <c r="G7" t="inlineStr" s="4">
        <is>
          <t>User scans mitra QR</t>
        </is>
      </c>
    </row>
    <row r="8" ht="22" customHeight="1">
      <c r="A8" t="inlineStr" s="4">
        <is>
          <t>Admin dashboard /dashboard</t>
        </is>
      </c>
      <c r="B8" t="inlineStr" s="4">
        <is>
          <t>Denied</t>
        </is>
      </c>
      <c r="C8" t="inlineStr" s="4">
        <is>
          <t>Denied</t>
        </is>
      </c>
      <c r="D8" t="inlineStr" s="4">
        <is>
          <t>Allowed</t>
        </is>
      </c>
      <c r="E8" t="inlineStr" s="4">
        <is>
          <t>Denied</t>
        </is>
      </c>
      <c r="F8" t="inlineStr" s="4">
        <is>
          <t>Conditional</t>
        </is>
      </c>
      <c r="G8" t="inlineStr" s="4">
        <is>
          <t>admin middleware</t>
        </is>
      </c>
    </row>
    <row r="9" ht="22" customHeight="1">
      <c r="A9" t="inlineStr" s="4">
        <is>
          <t>Admin public content /admin/public/*</t>
        </is>
      </c>
      <c r="B9" t="inlineStr" s="4">
        <is>
          <t>Denied</t>
        </is>
      </c>
      <c r="C9" t="inlineStr" s="4">
        <is>
          <t>Denied</t>
        </is>
      </c>
      <c r="D9" t="inlineStr" s="4">
        <is>
          <t>Allowed</t>
        </is>
      </c>
      <c r="E9" t="inlineStr" s="4">
        <is>
          <t>Denied</t>
        </is>
      </c>
      <c r="F9" t="inlineStr" s="4">
        <is>
          <t>Conditional</t>
        </is>
      </c>
      <c r="G9" t="inlineStr" s="4">
        <is>
          <t>admin + permission registry</t>
        </is>
      </c>
    </row>
    <row r="10" ht="22" customHeight="1">
      <c r="A10" t="inlineStr" s="4">
        <is>
          <t>Admin wisata destinations</t>
        </is>
      </c>
      <c r="B10" t="inlineStr" s="4">
        <is>
          <t>Denied</t>
        </is>
      </c>
      <c r="C10" t="inlineStr" s="4">
        <is>
          <t>Denied</t>
        </is>
      </c>
      <c r="D10" t="inlineStr" s="4">
        <is>
          <t>Allowed</t>
        </is>
      </c>
      <c r="E10" t="inlineStr" s="4">
        <is>
          <t>Denied</t>
        </is>
      </c>
      <c r="F10" t="inlineStr" s="4">
        <is>
          <t>Conditional</t>
        </is>
      </c>
      <c r="G10" t="inlineStr" s="4">
        <is>
          <t>admin wisata permission</t>
        </is>
      </c>
    </row>
    <row r="11" ht="22" customHeight="1">
      <c r="A11" t="inlineStr" s="4">
        <is>
          <t>Admin wisata vouchers</t>
        </is>
      </c>
      <c r="B11" t="inlineStr" s="4">
        <is>
          <t>Denied</t>
        </is>
      </c>
      <c r="C11" t="inlineStr" s="4">
        <is>
          <t>Denied</t>
        </is>
      </c>
      <c r="D11" t="inlineStr" s="4">
        <is>
          <t>Allowed</t>
        </is>
      </c>
      <c r="E11" t="inlineStr" s="4">
        <is>
          <t>Denied</t>
        </is>
      </c>
      <c r="F11" t="inlineStr" s="4">
        <is>
          <t>Conditional</t>
        </is>
      </c>
      <c r="G11" t="inlineStr" s="4">
        <is>
          <t>admin wisata voucher permission</t>
        </is>
      </c>
    </row>
    <row r="12" ht="22" customHeight="1">
      <c r="A12" t="inlineStr" s="4">
        <is>
          <t>Admin mitra wisata</t>
        </is>
      </c>
      <c r="B12" t="inlineStr" s="4">
        <is>
          <t>Denied</t>
        </is>
      </c>
      <c r="C12" t="inlineStr" s="4">
        <is>
          <t>Denied</t>
        </is>
      </c>
      <c r="D12" t="inlineStr" s="4">
        <is>
          <t>Allowed</t>
        </is>
      </c>
      <c r="E12" t="inlineStr" s="4">
        <is>
          <t>Denied</t>
        </is>
      </c>
      <c r="F12" t="inlineStr" s="4">
        <is>
          <t>Conditional</t>
        </is>
      </c>
      <c r="G12" t="inlineStr" s="4">
        <is>
          <t>admin mitra wisata permission</t>
        </is>
      </c>
    </row>
    <row r="13" ht="22" customHeight="1">
      <c r="A13" t="inlineStr" s="4">
        <is>
          <t>Mitra dashboard /mitra/dashboard</t>
        </is>
      </c>
      <c r="B13" t="inlineStr" s="4">
        <is>
          <t>Denied</t>
        </is>
      </c>
      <c r="C13" t="inlineStr" s="4">
        <is>
          <t>Denied</t>
        </is>
      </c>
      <c r="D13" t="inlineStr" s="4">
        <is>
          <t>Denied</t>
        </is>
      </c>
      <c r="E13" t="inlineStr" s="4">
        <is>
          <t>Allowed</t>
        </is>
      </c>
      <c r="F13" t="inlineStr" s="4">
        <is>
          <t>Denied</t>
        </is>
      </c>
      <c r="G13" t="inlineStr" s="4">
        <is>
          <t>role mitra + verified/onboarding constraints</t>
        </is>
      </c>
    </row>
    <row r="14" ht="22" customHeight="1">
      <c r="A14" t="inlineStr" s="4">
        <is>
          <t>Mitra wisata destination</t>
        </is>
      </c>
      <c r="B14" t="inlineStr" s="4">
        <is>
          <t>Denied</t>
        </is>
      </c>
      <c r="C14" t="inlineStr" s="4">
        <is>
          <t>Denied</t>
        </is>
      </c>
      <c r="D14" t="inlineStr" s="4">
        <is>
          <t>Denied</t>
        </is>
      </c>
      <c r="E14" t="inlineStr" s="4">
        <is>
          <t>Allowed</t>
        </is>
      </c>
      <c r="F14" t="inlineStr" s="4">
        <is>
          <t>Denied</t>
        </is>
      </c>
      <c r="G14" t="inlineStr" s="4">
        <is>
          <t>owned wisata only</t>
        </is>
      </c>
    </row>
    <row r="15" ht="22" customHeight="1">
      <c r="A15" t="inlineStr" s="4">
        <is>
          <t>Mitra tickets</t>
        </is>
      </c>
      <c r="B15" t="inlineStr" s="4">
        <is>
          <t>Denied</t>
        </is>
      </c>
      <c r="C15" t="inlineStr" s="4">
        <is>
          <t>Denied</t>
        </is>
      </c>
      <c r="D15" t="inlineStr" s="4">
        <is>
          <t>Denied</t>
        </is>
      </c>
      <c r="E15" t="inlineStr" s="4">
        <is>
          <t>Allowed</t>
        </is>
      </c>
      <c r="F15" t="inlineStr" s="4">
        <is>
          <t>Denied</t>
        </is>
      </c>
      <c r="G15" t="inlineStr" s="4">
        <is>
          <t>owned destination tickets only</t>
        </is>
      </c>
    </row>
    <row r="16" ht="22" customHeight="1">
      <c r="A16" t="inlineStr" s="4">
        <is>
          <t>Mitra bookings</t>
        </is>
      </c>
      <c r="B16" t="inlineStr" s="4">
        <is>
          <t>Denied</t>
        </is>
      </c>
      <c r="C16" t="inlineStr" s="4">
        <is>
          <t>Denied</t>
        </is>
      </c>
      <c r="D16" t="inlineStr" s="4">
        <is>
          <t>Denied</t>
        </is>
      </c>
      <c r="E16" t="inlineStr" s="4">
        <is>
          <t>Allowed</t>
        </is>
      </c>
      <c r="F16" t="inlineStr" s="4">
        <is>
          <t>Denied</t>
        </is>
      </c>
      <c r="G16" t="inlineStr" s="4">
        <is>
          <t>owned destination bookings only</t>
        </is>
      </c>
    </row>
    <row r="17" ht="22" customHeight="1">
      <c r="A17" t="inlineStr" s="4">
        <is>
          <t>Mitra scans QR/history</t>
        </is>
      </c>
      <c r="B17" t="inlineStr" s="4">
        <is>
          <t>Denied</t>
        </is>
      </c>
      <c r="C17" t="inlineStr" s="4">
        <is>
          <t>Denied</t>
        </is>
      </c>
      <c r="D17" t="inlineStr" s="4">
        <is>
          <t>Denied</t>
        </is>
      </c>
      <c r="E17" t="inlineStr" s="4">
        <is>
          <t>Allowed</t>
        </is>
      </c>
      <c r="F17" t="inlineStr" s="4">
        <is>
          <t>Denied</t>
        </is>
      </c>
      <c r="G17" t="inlineStr" s="4">
        <is>
          <t>owned QR and scan logs</t>
        </is>
      </c>
    </row>
    <row r="18" ht="22" customHeight="1">
      <c r="A18" t="inlineStr" s="4">
        <is>
          <t>Mobile auth API /api/auth/login</t>
        </is>
      </c>
      <c r="B18" t="inlineStr" s="4">
        <is>
          <t>Allowed</t>
        </is>
      </c>
      <c r="C18" t="inlineStr" s="4">
        <is>
          <t>Allowed</t>
        </is>
      </c>
      <c r="D18" t="inlineStr" s="4">
        <is>
          <t>Allowed</t>
        </is>
      </c>
      <c r="E18" t="inlineStr" s="4">
        <is>
          <t>Allowed</t>
        </is>
      </c>
      <c r="F18" t="inlineStr" s="4">
        <is>
          <t>Allowed</t>
        </is>
      </c>
      <c r="G18" t="inlineStr" s="4">
        <is>
          <t>Public auth endpoint with throttle</t>
        </is>
      </c>
    </row>
    <row r="19" ht="22" customHeight="1">
      <c r="A19" t="inlineStr" s="4">
        <is>
          <t>Mobile booking API /api/wisata/bookings</t>
        </is>
      </c>
      <c r="B19" t="inlineStr" s="4">
        <is>
          <t>Denied</t>
        </is>
      </c>
      <c r="C19" t="inlineStr" s="4">
        <is>
          <t>Allowed</t>
        </is>
      </c>
      <c r="D19" t="inlineStr" s="4">
        <is>
          <t>Conditional</t>
        </is>
      </c>
      <c r="E19" t="inlineStr" s="4">
        <is>
          <t>Denied</t>
        </is>
      </c>
      <c r="F19" t="inlineStr" s="4">
        <is>
          <t>Denied</t>
        </is>
      </c>
      <c r="G19" t="inlineStr" s="4">
        <is>
          <t>Sanctum auth + verified user</t>
        </is>
      </c>
    </row>
    <row r="20" ht="22" customHeight="1">
      <c r="A20" t="inlineStr" s="4">
        <is>
          <t>Mobile admin notification API</t>
        </is>
      </c>
      <c r="B20" t="inlineStr" s="4">
        <is>
          <t>Denied</t>
        </is>
      </c>
      <c r="C20" t="inlineStr" s="4">
        <is>
          <t>Denied</t>
        </is>
      </c>
      <c r="D20" t="inlineStr" s="4">
        <is>
          <t>Allowed</t>
        </is>
      </c>
      <c r="E20" t="inlineStr" s="4">
        <is>
          <t>Denied</t>
        </is>
      </c>
      <c r="F20" t="inlineStr" s="4">
        <is>
          <t>Conditional</t>
        </is>
      </c>
      <c r="G20" t="inlineStr" s="4">
        <is>
          <t>api.admin middleware</t>
        </is>
      </c>
    </row>
    <row r="21" ht="22" customHeight="1">
      <c r="A21" t="inlineStr" s="4">
        <is>
          <t>Retired hotel/event/academy routes</t>
        </is>
      </c>
      <c r="B21" t="inlineStr" s="4">
        <is>
          <t>Denied</t>
        </is>
      </c>
      <c r="C21" t="inlineStr" s="4">
        <is>
          <t>Denied</t>
        </is>
      </c>
      <c r="D21" t="inlineStr" s="4">
        <is>
          <t>Denied</t>
        </is>
      </c>
      <c r="E21" t="inlineStr" s="4">
        <is>
          <t>Denied</t>
        </is>
      </c>
      <c r="F21" t="inlineStr" s="4">
        <is>
          <t>Denied</t>
        </is>
      </c>
      <c r="G21" t="inlineStr" s="4">
        <is>
          <t>BlockRetiredProductFeatures 404</t>
        </is>
      </c>
    </row>
  </sheetData>
  <autoFilter ref="A1:G2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4" customWidth="1"/>
    <col min="3" max="3" width="44" customWidth="1"/>
    <col min="4" max="4" width="44" customWidth="1"/>
    <col min="5" max="5" width="62" customWidth="1"/>
    <col min="6" max="6" width="14" customWidth="1"/>
    <col min="7" max="7" width="14" customWidth="1"/>
    <col min="8" max="8" width="34" customWidth="1"/>
  </cols>
  <sheetData>
    <row r="1" ht="28" customHeight="1">
      <c r="A1" t="inlineStr" s="2">
        <is>
          <t>Security Test ID</t>
        </is>
      </c>
      <c r="B1" t="inlineStr" s="2">
        <is>
          <t>Area</t>
        </is>
      </c>
      <c r="C1" t="inlineStr" s="2">
        <is>
          <t>Scenario</t>
        </is>
      </c>
      <c r="D1" t="inlineStr" s="2">
        <is>
          <t>Attack / Misuse Case</t>
        </is>
      </c>
      <c r="E1" t="inlineStr" s="2">
        <is>
          <t>Expected Protection</t>
        </is>
      </c>
      <c r="F1" t="inlineStr" s="2">
        <is>
          <t>Severity</t>
        </is>
      </c>
      <c r="G1" t="inlineStr" s="2">
        <is>
          <t>Status</t>
        </is>
      </c>
      <c r="H1" t="inlineStr" s="2">
        <is>
          <t>Notes</t>
        </is>
      </c>
    </row>
    <row r="2" ht="22" customHeight="1">
      <c r="A2" t="inlineStr" s="4">
        <is>
          <t>ST-SEC-001</t>
        </is>
      </c>
      <c r="B2" t="inlineStr" s="4">
        <is>
          <t>Access Control / Input Validation</t>
        </is>
      </c>
      <c r="C2" t="inlineStr" s="4">
        <is>
          <t>Guest cannot access admin dashboard</t>
        </is>
      </c>
      <c r="D2" t="inlineStr" s="4">
        <is>
          <t>GET /dashboard as guest</t>
        </is>
      </c>
      <c r="E2" t="inlineStr" s="4">
        <is>
          <t>Redirect to login or deny; no admin data returned.</t>
        </is>
      </c>
      <c r="F2" t="inlineStr" s="4">
        <is>
          <t>High</t>
        </is>
      </c>
      <c r="G2" t="inlineStr" s="4">
        <is>
          <t>Not Run</t>
        </is>
      </c>
      <c r="H2" s="4"/>
    </row>
    <row r="3" ht="22" customHeight="1">
      <c r="A3" t="inlineStr" s="4">
        <is>
          <t>ST-SEC-002</t>
        </is>
      </c>
      <c r="B3" t="inlineStr" s="4">
        <is>
          <t>Access Control / Input Validation</t>
        </is>
      </c>
      <c r="C3" t="inlineStr" s="4">
        <is>
          <t>User cannot access admin wisata routes</t>
        </is>
      </c>
      <c r="D3" t="inlineStr" s="4">
        <is>
          <t>GET /admin/wisata/destinations as user</t>
        </is>
      </c>
      <c r="E3" t="inlineStr" s="4">
        <is>
          <t>403/redirect/404 according to middleware; no data returned.</t>
        </is>
      </c>
      <c r="F3" t="inlineStr" s="4">
        <is>
          <t>Critical</t>
        </is>
      </c>
      <c r="G3" t="inlineStr" s="4">
        <is>
          <t>Not Run</t>
        </is>
      </c>
      <c r="H3" s="4"/>
    </row>
    <row r="4" ht="22" customHeight="1">
      <c r="A4" t="inlineStr" s="4">
        <is>
          <t>ST-SEC-003</t>
        </is>
      </c>
      <c r="B4" t="inlineStr" s="4">
        <is>
          <t>Access Control / Input Validation</t>
        </is>
      </c>
      <c r="C4" t="inlineStr" s="4">
        <is>
          <t>Mitra cannot access admin-only routes</t>
        </is>
      </c>
      <c r="D4" t="inlineStr" s="4">
        <is>
          <t>GET /admin/users as mitra</t>
        </is>
      </c>
      <c r="E4" t="inlineStr" s="4">
        <is>
          <t>Access denied.</t>
        </is>
      </c>
      <c r="F4" t="inlineStr" s="4">
        <is>
          <t>Critical</t>
        </is>
      </c>
      <c r="G4" t="inlineStr" s="4">
        <is>
          <t>Not Run</t>
        </is>
      </c>
      <c r="H4" s="4"/>
    </row>
    <row r="5" ht="22" customHeight="1">
      <c r="A5" t="inlineStr" s="4">
        <is>
          <t>ST-SEC-004</t>
        </is>
      </c>
      <c r="B5" t="inlineStr" s="4">
        <is>
          <t>Access Control / Input Validation</t>
        </is>
      </c>
      <c r="C5" t="inlineStr" s="4">
        <is>
          <t>Mitra cannot open retired hotel/event operational routes</t>
        </is>
      </c>
      <c r="D5" t="inlineStr" s="4">
        <is>
          <t>GET /mitra/events or /mitra/hotels</t>
        </is>
      </c>
      <c r="E5" t="inlineStr" s="4">
        <is>
          <t>404 via retired feature block.</t>
        </is>
      </c>
      <c r="F5" t="inlineStr" s="4">
        <is>
          <t>High</t>
        </is>
      </c>
      <c r="G5" t="inlineStr" s="4">
        <is>
          <t>Not Run</t>
        </is>
      </c>
      <c r="H5" s="4"/>
    </row>
    <row r="6" ht="22" customHeight="1">
      <c r="A6" t="inlineStr" s="4">
        <is>
          <t>ST-SEC-005</t>
        </is>
      </c>
      <c r="B6" t="inlineStr" s="4">
        <is>
          <t>Access Control / Input Validation</t>
        </is>
      </c>
      <c r="C6" t="inlineStr" s="4">
        <is>
          <t>Retired public product routes are blocked</t>
        </is>
      </c>
      <c r="D6" t="inlineStr" s="4">
        <is>
          <t>GET /events, /hotels, /academy, /retail-shop</t>
        </is>
      </c>
      <c r="E6" t="inlineStr" s="4">
        <is>
          <t>404 or retired behavior, not active product listing.</t>
        </is>
      </c>
      <c r="F6" t="inlineStr" s="4">
        <is>
          <t>High</t>
        </is>
      </c>
      <c r="G6" t="inlineStr" s="4">
        <is>
          <t>Not Run</t>
        </is>
      </c>
      <c r="H6" s="4"/>
    </row>
    <row r="7" ht="22" customHeight="1">
      <c r="A7" t="inlineStr" s="4">
        <is>
          <t>ST-SEC-006</t>
        </is>
      </c>
      <c r="B7" t="inlineStr" s="4">
        <is>
          <t>Access Control / Input Validation</t>
        </is>
      </c>
      <c r="C7" t="inlineStr" s="4">
        <is>
          <t>CSRF blocks state-changing web request without token</t>
        </is>
      </c>
      <c r="D7" t="inlineStr" s="4">
        <is>
          <t>POST admin/public/home without CSRF</t>
        </is>
      </c>
      <c r="E7" t="inlineStr" s="4">
        <is>
          <t>Request rejected with CSRF/session protection.</t>
        </is>
      </c>
      <c r="F7" t="inlineStr" s="4">
        <is>
          <t>High</t>
        </is>
      </c>
      <c r="G7" t="inlineStr" s="4">
        <is>
          <t>Not Run</t>
        </is>
      </c>
      <c r="H7" s="4"/>
    </row>
    <row r="8" ht="22" customHeight="1">
      <c r="A8" t="inlineStr" s="4">
        <is>
          <t>ST-SEC-007</t>
        </is>
      </c>
      <c r="B8" t="inlineStr" s="4">
        <is>
          <t>Access Control / Input Validation</t>
        </is>
      </c>
      <c r="C8" t="inlineStr" s="4">
        <is>
          <t>XSS payload is escaped/sanitized in rich content</t>
        </is>
      </c>
      <c r="D8" t="inlineStr" s="4">
        <is>
          <t>&lt;script&gt;alert(1)&lt;/script&gt; in editable content</t>
        </is>
      </c>
      <c r="E8" t="inlineStr" s="4">
        <is>
          <t>Script is removed/escaped and not executable on public page.</t>
        </is>
      </c>
      <c r="F8" t="inlineStr" s="4">
        <is>
          <t>High</t>
        </is>
      </c>
      <c r="G8" t="inlineStr" s="4">
        <is>
          <t>Not Run</t>
        </is>
      </c>
      <c r="H8" s="4"/>
    </row>
    <row r="9" ht="22" customHeight="1">
      <c r="A9" t="inlineStr" s="4">
        <is>
          <t>ST-SEC-008</t>
        </is>
      </c>
      <c r="B9" t="inlineStr" s="4">
        <is>
          <t>Access Control / Input Validation</t>
        </is>
      </c>
      <c r="C9" t="inlineStr" s="4">
        <is>
          <t>SQL injection string in search is handled safely</t>
        </is>
      </c>
      <c r="D9" t="inlineStr" s="4">
        <is>
          <t>q=%' OR 1=1 --</t>
        </is>
      </c>
      <c r="E9" t="inlineStr" s="4">
        <is>
          <t>No SQL error; results remain scoped.</t>
        </is>
      </c>
      <c r="F9" t="inlineStr" s="4">
        <is>
          <t>High</t>
        </is>
      </c>
      <c r="G9" t="inlineStr" s="4">
        <is>
          <t>Not Run</t>
        </is>
      </c>
      <c r="H9" s="4"/>
    </row>
    <row r="10" ht="22" customHeight="1">
      <c r="A10" t="inlineStr" s="4">
        <is>
          <t>ST-SEC-009</t>
        </is>
      </c>
      <c r="B10" t="inlineStr" s="4">
        <is>
          <t>Access Control / Input Validation</t>
        </is>
      </c>
      <c r="C10" t="inlineStr" s="4">
        <is>
          <t>File upload rejects executable disguised as image</t>
        </is>
      </c>
      <c r="D10" t="inlineStr" s="4">
        <is>
          <t>malware.php.jpg or invalid MIME</t>
        </is>
      </c>
      <c r="E10" t="inlineStr" s="4">
        <is>
          <t>Upload validation rejects or stores safely outside executable path.</t>
        </is>
      </c>
      <c r="F10" t="inlineStr" s="4">
        <is>
          <t>High</t>
        </is>
      </c>
      <c r="G10" t="inlineStr" s="4">
        <is>
          <t>Not Run</t>
        </is>
      </c>
      <c r="H10" s="4"/>
    </row>
    <row r="11" ht="22" customHeight="1">
      <c r="A11" t="inlineStr" s="4">
        <is>
          <t>ST-SEC-010</t>
        </is>
      </c>
      <c r="B11" t="inlineStr" s="4">
        <is>
          <t>Access Control / Input Validation</t>
        </is>
      </c>
      <c r="C11" t="inlineStr" s="4">
        <is>
          <t>Mass assignment cannot set owner/status fields</t>
        </is>
      </c>
      <c r="D11" t="inlineStr" s="4">
        <is>
          <t>mitra_id/owner_id/is_admin in request payload</t>
        </is>
      </c>
      <c r="E11" t="inlineStr" s="4">
        <is>
          <t>Sensitive fields ignored or rejected.</t>
        </is>
      </c>
      <c r="F11" t="inlineStr" s="4">
        <is>
          <t>Critical</t>
        </is>
      </c>
      <c r="G11" t="inlineStr" s="4">
        <is>
          <t>Not Run</t>
        </is>
      </c>
      <c r="H11" s="4"/>
    </row>
    <row r="12" ht="22" customHeight="1">
      <c r="A12" t="inlineStr" s="4">
        <is>
          <t>ST-SEC-011</t>
        </is>
      </c>
      <c r="B12" t="inlineStr" s="4">
        <is>
          <t>Access Control / Input Validation</t>
        </is>
      </c>
      <c r="C12" t="inlineStr" s="4">
        <is>
          <t>Admin audit log redacts password/token fields</t>
        </is>
      </c>
      <c r="D12" t="inlineStr" s="4">
        <is>
          <t>Payload with password/token</t>
        </is>
      </c>
      <c r="E12" t="inlineStr" s="4">
        <is>
          <t>Log UI/API does not expose sensitive values.</t>
        </is>
      </c>
      <c r="F12" t="inlineStr" s="4">
        <is>
          <t>High</t>
        </is>
      </c>
      <c r="G12" t="inlineStr" s="4">
        <is>
          <t>Not Run</t>
        </is>
      </c>
      <c r="H12" s="4"/>
    </row>
    <row r="13" ht="22" customHeight="1">
      <c r="A13" t="inlineStr" s="4">
        <is>
          <t>ST-SEC-012</t>
        </is>
      </c>
      <c r="B13" t="inlineStr" s="4">
        <is>
          <t>Access Control / Input Validation</t>
        </is>
      </c>
      <c r="C13" t="inlineStr" s="4">
        <is>
          <t>Public cache bypasses authenticated responses</t>
        </is>
      </c>
      <c r="D13" t="inlineStr" s="4">
        <is>
          <t>Authorization header on public API request</t>
        </is>
      </c>
      <c r="E13" t="inlineStr" s="4">
        <is>
          <t>Private/authenticated data is not cached into public response.</t>
        </is>
      </c>
      <c r="F13" t="inlineStr" s="4">
        <is>
          <t>High</t>
        </is>
      </c>
      <c r="G13" t="inlineStr" s="4">
        <is>
          <t>Not Run</t>
        </is>
      </c>
      <c r="H13" s="4"/>
    </row>
    <row r="14" ht="22" customHeight="1">
      <c r="A14" t="inlineStr" s="4">
        <is>
          <t>ST-API-001</t>
        </is>
      </c>
      <c r="B14" t="inlineStr" s="4">
        <is>
          <t>API Auth</t>
        </is>
      </c>
      <c r="C14" t="inlineStr" s="4">
        <is>
          <t>Unauthorized API request</t>
        </is>
      </c>
      <c r="D14" t="inlineStr" s="4">
        <is>
          <t>Call protected API without token</t>
        </is>
      </c>
      <c r="E14" t="inlineStr" s="4">
        <is>
          <t>401 unauthenticated; no resource payload returned</t>
        </is>
      </c>
      <c r="F14" t="inlineStr" s="4">
        <is>
          <t>High</t>
        </is>
      </c>
      <c r="G14" t="inlineStr" s="4">
        <is>
          <t>Not Run</t>
        </is>
      </c>
      <c r="H14" s="4"/>
    </row>
    <row r="15" ht="22" customHeight="1">
      <c r="A15" t="inlineStr" s="4">
        <is>
          <t>ST-API-002</t>
        </is>
      </c>
      <c r="B15" t="inlineStr" s="4">
        <is>
          <t>Object Ownership</t>
        </is>
      </c>
      <c r="C15" t="inlineStr" s="4">
        <is>
          <t>Encrypted/plain ID tampering</t>
        </is>
      </c>
      <c r="D15" t="inlineStr" s="4">
        <is>
          <t>Change booking/destination/ticket IDs in request</t>
        </is>
      </c>
      <c r="E15" t="inlineStr" s="4">
        <is>
          <t>System resolves ID safely and enforces ownership</t>
        </is>
      </c>
      <c r="F15" t="inlineStr" s="4">
        <is>
          <t>Critical</t>
        </is>
      </c>
      <c r="G15" t="inlineStr" s="4">
        <is>
          <t>Not Run</t>
        </is>
      </c>
      <c r="H15" s="4"/>
    </row>
    <row r="16" ht="22" customHeight="1">
      <c r="A16" t="inlineStr" s="4">
        <is>
          <t>ST-UPLOAD-001</t>
        </is>
      </c>
      <c r="B16" t="inlineStr" s="4">
        <is>
          <t>Upload Validation</t>
        </is>
      </c>
      <c r="C16" t="inlineStr" s="4">
        <is>
          <t>QR/logo/banner upload with invalid MIME</t>
        </is>
      </c>
      <c r="D16" t="inlineStr" s="4">
        <is>
          <t>Upload PHP/JS/SVG executable as image</t>
        </is>
      </c>
      <c r="E16" t="inlineStr" s="4">
        <is>
          <t>Rejected by MIME/extension/size validation</t>
        </is>
      </c>
      <c r="F16" t="inlineStr" s="4">
        <is>
          <t>High</t>
        </is>
      </c>
      <c r="G16" t="inlineStr" s="4">
        <is>
          <t>Not Run</t>
        </is>
      </c>
      <c r="H16" s="4"/>
    </row>
    <row r="17" ht="22" customHeight="1">
      <c r="A17" t="inlineStr" s="4">
        <is>
          <t>ST-XSS-002</t>
        </is>
      </c>
      <c r="B17" t="inlineStr" s="4">
        <is>
          <t>Stored XSS</t>
        </is>
      </c>
      <c r="C17" t="inlineStr" s="4">
        <is>
          <t>Public content rich text XSS</t>
        </is>
      </c>
      <c r="D17" t="inlineStr" s="4">
        <is>
          <t>Submit script/event handler in admin editable content</t>
        </is>
      </c>
      <c r="E17" t="inlineStr" s="4">
        <is>
          <t>Sanitizer removes executable HTML while safe formatting remains</t>
        </is>
      </c>
      <c r="F17" t="inlineStr" s="4">
        <is>
          <t>High</t>
        </is>
      </c>
      <c r="G17" t="inlineStr" s="4">
        <is>
          <t>Not Run</t>
        </is>
      </c>
      <c r="H17" s="4"/>
    </row>
  </sheetData>
  <autoFilter ref="A1:H17"/>
  <conditionalFormatting sqref="F2:F1000">
    <cfRule type="containsText" priority="10" operator="containsText" text="Critical" dxfId="9">
      <formula>NOT(ISERROR(SEARCH("Critical",F2)))</formula>
    </cfRule>
    <cfRule type="containsText" priority="11" operator="containsText" text="High" dxfId="10">
      <formula>NOT(ISERROR(SEARCH("High",F2)))</formula>
    </cfRule>
    <cfRule type="containsText" priority="12" operator="containsText" text="Medium" dxfId="11">
      <formula>NOT(ISERROR(SEARCH("Medium",F2)))</formula>
    </cfRule>
    <cfRule type="containsText" priority="13" operator="containsText" text="Low" dxfId="12">
      <formula>NOT(ISERROR(SEARCH("Low",F2)))</formula>
    </cfRule>
  </conditionalFormatting>
  <conditionalFormatting sqref="G2:G1000">
    <cfRule type="containsText" priority="1" operator="containsText" text="Passed" dxfId="0">
      <formula>NOT(ISERROR(SEARCH("Passed",G2)))</formula>
    </cfRule>
    <cfRule type="containsText" priority="2" operator="containsText" text="Failed" dxfId="1">
      <formula>NOT(ISERROR(SEARCH("Failed",G2)))</formula>
    </cfRule>
    <cfRule type="containsText" priority="3" operator="containsText" text="Blocked" dxfId="2">
      <formula>NOT(ISERROR(SEARCH("Blocked",G2)))</formula>
    </cfRule>
    <cfRule type="containsText" priority="4" operator="containsText" text="Retest" dxfId="3">
      <formula>NOT(ISERROR(SEARCH("Retest",G2)))</formula>
    </cfRule>
    <cfRule type="containsText" priority="5" operator="containsText" text="Not Run" dxfId="4">
      <formula>NOT(ISERROR(SEARCH("Not Run",G2)))</formula>
    </cfRule>
  </conditionalFormatting>
  <dataValidations count="1">
    <dataValidation type="list" allowBlank="1" showErrorMessage="1" sqref="G2:G1000">
      <formula1>"Not Run,Passed,Failed,Blocked,Retest,Skipped,N/A"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8" customWidth="1"/>
    <col min="3" max="3" width="14" customWidth="1"/>
    <col min="4" max="4" width="52" customWidth="1"/>
    <col min="5" max="5" width="70" customWidth="1"/>
    <col min="6" max="6" width="14" customWidth="1"/>
    <col min="7" max="7" width="38" customWidth="1"/>
  </cols>
  <sheetData>
    <row r="1" ht="28" customHeight="1">
      <c r="A1" t="inlineStr" s="2">
        <is>
          <t>Platform</t>
        </is>
      </c>
      <c r="B1" t="inlineStr" s="2">
        <is>
          <t>Browser</t>
        </is>
      </c>
      <c r="C1" t="inlineStr" s="2">
        <is>
          <t>Viewport</t>
        </is>
      </c>
      <c r="D1" t="inlineStr" s="2">
        <is>
          <t>Test Area</t>
        </is>
      </c>
      <c r="E1" t="inlineStr" s="2">
        <is>
          <t>Expected</t>
        </is>
      </c>
      <c r="F1" t="inlineStr" s="2">
        <is>
          <t>Status</t>
        </is>
      </c>
      <c r="G1" t="inlineStr" s="2">
        <is>
          <t>Notes</t>
        </is>
      </c>
    </row>
    <row r="2" ht="22" customHeight="1">
      <c r="A2" t="inlineStr" s="4">
        <is>
          <t>Desktop</t>
        </is>
      </c>
      <c r="B2" t="inlineStr" s="4">
        <is>
          <t>Chrome</t>
        </is>
      </c>
      <c r="C2" t="inlineStr" s="4">
        <is>
          <t>1366x768</t>
        </is>
      </c>
      <c r="D2" t="inlineStr" s="4">
        <is>
          <t>Homepage / Catalog / Detail / Checkout / Admin table / Mitra QR</t>
        </is>
      </c>
      <c r="E2" t="inlineStr" s="4">
        <is>
          <t>No horizontal overflow, readable text, touch/click targets usable, no console blocking error</t>
        </is>
      </c>
      <c r="F2" t="inlineStr" s="4">
        <is>
          <t>Not Run</t>
        </is>
      </c>
      <c r="G2" t="inlineStr" s="4">
        <is>
          <t>Representative routes may be selected per role.</t>
        </is>
      </c>
    </row>
    <row r="3" ht="22" customHeight="1">
      <c r="A3" t="inlineStr" s="4">
        <is>
          <t>Desktop</t>
        </is>
      </c>
      <c r="B3" t="inlineStr" s="4">
        <is>
          <t>Chrome</t>
        </is>
      </c>
      <c r="C3" t="inlineStr" s="4">
        <is>
          <t>1440x900</t>
        </is>
      </c>
      <c r="D3" t="inlineStr" s="4">
        <is>
          <t>Homepage / Catalog / Detail / Checkout / Admin table / Mitra QR</t>
        </is>
      </c>
      <c r="E3" t="inlineStr" s="4">
        <is>
          <t>No horizontal overflow, readable text, touch/click targets usable, no console blocking error</t>
        </is>
      </c>
      <c r="F3" t="inlineStr" s="4">
        <is>
          <t>Not Run</t>
        </is>
      </c>
      <c r="G3" t="inlineStr" s="4">
        <is>
          <t>Representative routes may be selected per role.</t>
        </is>
      </c>
    </row>
    <row r="4" ht="22" customHeight="1">
      <c r="A4" t="inlineStr" s="4">
        <is>
          <t>Desktop</t>
        </is>
      </c>
      <c r="B4" t="inlineStr" s="4">
        <is>
          <t>Firefox</t>
        </is>
      </c>
      <c r="C4" t="inlineStr" s="4">
        <is>
          <t>1366x768</t>
        </is>
      </c>
      <c r="D4" t="inlineStr" s="4">
        <is>
          <t>Homepage / Catalog / Detail / Checkout / Admin table / Mitra QR</t>
        </is>
      </c>
      <c r="E4" t="inlineStr" s="4">
        <is>
          <t>No horizontal overflow, readable text, touch/click targets usable, no console blocking error</t>
        </is>
      </c>
      <c r="F4" t="inlineStr" s="4">
        <is>
          <t>Not Run</t>
        </is>
      </c>
      <c r="G4" t="inlineStr" s="4">
        <is>
          <t>Representative routes may be selected per role.</t>
        </is>
      </c>
    </row>
    <row r="5" ht="22" customHeight="1">
      <c r="A5" t="inlineStr" s="4">
        <is>
          <t>Desktop</t>
        </is>
      </c>
      <c r="B5" t="inlineStr" s="4">
        <is>
          <t>Firefox</t>
        </is>
      </c>
      <c r="C5" t="inlineStr" s="4">
        <is>
          <t>1440x900</t>
        </is>
      </c>
      <c r="D5" t="inlineStr" s="4">
        <is>
          <t>Homepage / Catalog / Detail / Checkout / Admin table / Mitra QR</t>
        </is>
      </c>
      <c r="E5" t="inlineStr" s="4">
        <is>
          <t>No horizontal overflow, readable text, touch/click targets usable, no console blocking error</t>
        </is>
      </c>
      <c r="F5" t="inlineStr" s="4">
        <is>
          <t>Not Run</t>
        </is>
      </c>
      <c r="G5" t="inlineStr" s="4">
        <is>
          <t>Representative routes may be selected per role.</t>
        </is>
      </c>
    </row>
    <row r="6" ht="22" customHeight="1">
      <c r="A6" t="inlineStr" s="4">
        <is>
          <t>Desktop</t>
        </is>
      </c>
      <c r="B6" t="inlineStr" s="4">
        <is>
          <t>Edge</t>
        </is>
      </c>
      <c r="C6" t="inlineStr" s="4">
        <is>
          <t>1366x768</t>
        </is>
      </c>
      <c r="D6" t="inlineStr" s="4">
        <is>
          <t>Homepage / Catalog / Detail / Checkout / Admin table / Mitra QR</t>
        </is>
      </c>
      <c r="E6" t="inlineStr" s="4">
        <is>
          <t>No horizontal overflow, readable text, touch/click targets usable, no console blocking error</t>
        </is>
      </c>
      <c r="F6" t="inlineStr" s="4">
        <is>
          <t>Not Run</t>
        </is>
      </c>
      <c r="G6" t="inlineStr" s="4">
        <is>
          <t>Representative routes may be selected per role.</t>
        </is>
      </c>
    </row>
    <row r="7" ht="22" customHeight="1">
      <c r="A7" t="inlineStr" s="4">
        <is>
          <t>Desktop</t>
        </is>
      </c>
      <c r="B7" t="inlineStr" s="4">
        <is>
          <t>Edge</t>
        </is>
      </c>
      <c r="C7" t="inlineStr" s="4">
        <is>
          <t>1440x900</t>
        </is>
      </c>
      <c r="D7" t="inlineStr" s="4">
        <is>
          <t>Homepage / Catalog / Detail / Checkout / Admin table / Mitra QR</t>
        </is>
      </c>
      <c r="E7" t="inlineStr" s="4">
        <is>
          <t>No horizontal overflow, readable text, touch/click targets usable, no console blocking error</t>
        </is>
      </c>
      <c r="F7" t="inlineStr" s="4">
        <is>
          <t>Not Run</t>
        </is>
      </c>
      <c r="G7" t="inlineStr" s="4">
        <is>
          <t>Representative routes may be selected per role.</t>
        </is>
      </c>
    </row>
    <row r="8" ht="22" customHeight="1">
      <c r="A8" t="inlineStr" s="4">
        <is>
          <t>Android</t>
        </is>
      </c>
      <c r="B8" t="inlineStr" s="4">
        <is>
          <t>Chrome</t>
        </is>
      </c>
      <c r="C8" t="inlineStr" s="4">
        <is>
          <t>360x800</t>
        </is>
      </c>
      <c r="D8" t="inlineStr" s="4">
        <is>
          <t>Homepage / Catalog / Detail / Checkout / Admin table / Mitra QR</t>
        </is>
      </c>
      <c r="E8" t="inlineStr" s="4">
        <is>
          <t>No horizontal overflow, readable text, touch/click targets usable, no console blocking error</t>
        </is>
      </c>
      <c r="F8" t="inlineStr" s="4">
        <is>
          <t>Not Run</t>
        </is>
      </c>
      <c r="G8" t="inlineStr" s="4">
        <is>
          <t>Representative routes may be selected per role.</t>
        </is>
      </c>
    </row>
    <row r="9" ht="22" customHeight="1">
      <c r="A9" t="inlineStr" s="4">
        <is>
          <t>Android</t>
        </is>
      </c>
      <c r="B9" t="inlineStr" s="4">
        <is>
          <t>Chrome</t>
        </is>
      </c>
      <c r="C9" t="inlineStr" s="4">
        <is>
          <t>375x812</t>
        </is>
      </c>
      <c r="D9" t="inlineStr" s="4">
        <is>
          <t>Homepage / Catalog / Detail / Checkout / Admin table / Mitra QR</t>
        </is>
      </c>
      <c r="E9" t="inlineStr" s="4">
        <is>
          <t>No horizontal overflow, readable text, touch/click targets usable, no console blocking error</t>
        </is>
      </c>
      <c r="F9" t="inlineStr" s="4">
        <is>
          <t>Not Run</t>
        </is>
      </c>
      <c r="G9" t="inlineStr" s="4">
        <is>
          <t>Representative routes may be selected per role.</t>
        </is>
      </c>
    </row>
    <row r="10" ht="22" customHeight="1">
      <c r="A10" t="inlineStr" s="4">
        <is>
          <t>Android</t>
        </is>
      </c>
      <c r="B10" t="inlineStr" s="4">
        <is>
          <t>Chrome</t>
        </is>
      </c>
      <c r="C10" t="inlineStr" s="4">
        <is>
          <t>390x844</t>
        </is>
      </c>
      <c r="D10" t="inlineStr" s="4">
        <is>
          <t>Homepage / Catalog / Detail / Checkout / Admin table / Mitra QR</t>
        </is>
      </c>
      <c r="E10" t="inlineStr" s="4">
        <is>
          <t>No horizontal overflow, readable text, touch/click targets usable, no console blocking error</t>
        </is>
      </c>
      <c r="F10" t="inlineStr" s="4">
        <is>
          <t>Not Run</t>
        </is>
      </c>
      <c r="G10" t="inlineStr" s="4">
        <is>
          <t>Representative routes may be selected per role.</t>
        </is>
      </c>
    </row>
    <row r="11" ht="22" customHeight="1">
      <c r="A11" t="inlineStr" s="4">
        <is>
          <t>Android</t>
        </is>
      </c>
      <c r="B11" t="inlineStr" s="4">
        <is>
          <t>Chrome</t>
        </is>
      </c>
      <c r="C11" t="inlineStr" s="4">
        <is>
          <t>430x932</t>
        </is>
      </c>
      <c r="D11" t="inlineStr" s="4">
        <is>
          <t>Homepage / Catalog / Detail / Checkout / Admin table / Mitra QR</t>
        </is>
      </c>
      <c r="E11" t="inlineStr" s="4">
        <is>
          <t>No horizontal overflow, readable text, touch/click targets usable, no console blocking error</t>
        </is>
      </c>
      <c r="F11" t="inlineStr" s="4">
        <is>
          <t>Not Run</t>
        </is>
      </c>
      <c r="G11" t="inlineStr" s="4">
        <is>
          <t>Representative routes may be selected per role.</t>
        </is>
      </c>
    </row>
    <row r="12" ht="22" customHeight="1">
      <c r="A12" t="inlineStr" s="4">
        <is>
          <t>Android</t>
        </is>
      </c>
      <c r="B12" t="inlineStr" s="4">
        <is>
          <t>Chrome</t>
        </is>
      </c>
      <c r="C12" t="inlineStr" s="4">
        <is>
          <t>768x1024</t>
        </is>
      </c>
      <c r="D12" t="inlineStr" s="4">
        <is>
          <t>Homepage / Catalog / Detail / Checkout / Admin table / Mitra QR</t>
        </is>
      </c>
      <c r="E12" t="inlineStr" s="4">
        <is>
          <t>No horizontal overflow, readable text, touch/click targets usable, no console blocking error</t>
        </is>
      </c>
      <c r="F12" t="inlineStr" s="4">
        <is>
          <t>Not Run</t>
        </is>
      </c>
      <c r="G12" t="inlineStr" s="4">
        <is>
          <t>Representative routes may be selected per role.</t>
        </is>
      </c>
    </row>
    <row r="13" ht="22" customHeight="1">
      <c r="A13" t="inlineStr" s="4">
        <is>
          <t>iOS</t>
        </is>
      </c>
      <c r="B13" t="inlineStr" s="4">
        <is>
          <t>Safari</t>
        </is>
      </c>
      <c r="C13" t="inlineStr" s="4">
        <is>
          <t>360x800</t>
        </is>
      </c>
      <c r="D13" t="inlineStr" s="4">
        <is>
          <t>Homepage / Catalog / Detail / Checkout / Admin table / Mitra QR</t>
        </is>
      </c>
      <c r="E13" t="inlineStr" s="4">
        <is>
          <t>No horizontal overflow, readable text, touch/click targets usable, no console blocking error</t>
        </is>
      </c>
      <c r="F13" t="inlineStr" s="4">
        <is>
          <t>Not Run</t>
        </is>
      </c>
      <c r="G13" t="inlineStr" s="4">
        <is>
          <t>Representative routes may be selected per role.</t>
        </is>
      </c>
    </row>
    <row r="14" ht="22" customHeight="1">
      <c r="A14" t="inlineStr" s="4">
        <is>
          <t>iOS</t>
        </is>
      </c>
      <c r="B14" t="inlineStr" s="4">
        <is>
          <t>Safari</t>
        </is>
      </c>
      <c r="C14" t="inlineStr" s="4">
        <is>
          <t>375x812</t>
        </is>
      </c>
      <c r="D14" t="inlineStr" s="4">
        <is>
          <t>Homepage / Catalog / Detail / Checkout / Admin table / Mitra QR</t>
        </is>
      </c>
      <c r="E14" t="inlineStr" s="4">
        <is>
          <t>No horizontal overflow, readable text, touch/click targets usable, no console blocking error</t>
        </is>
      </c>
      <c r="F14" t="inlineStr" s="4">
        <is>
          <t>Not Run</t>
        </is>
      </c>
      <c r="G14" t="inlineStr" s="4">
        <is>
          <t>Representative routes may be selected per role.</t>
        </is>
      </c>
    </row>
    <row r="15" ht="22" customHeight="1">
      <c r="A15" t="inlineStr" s="4">
        <is>
          <t>iOS</t>
        </is>
      </c>
      <c r="B15" t="inlineStr" s="4">
        <is>
          <t>Safari</t>
        </is>
      </c>
      <c r="C15" t="inlineStr" s="4">
        <is>
          <t>390x844</t>
        </is>
      </c>
      <c r="D15" t="inlineStr" s="4">
        <is>
          <t>Homepage / Catalog / Detail / Checkout / Admin table / Mitra QR</t>
        </is>
      </c>
      <c r="E15" t="inlineStr" s="4">
        <is>
          <t>No horizontal overflow, readable text, touch/click targets usable, no console blocking error</t>
        </is>
      </c>
      <c r="F15" t="inlineStr" s="4">
        <is>
          <t>Not Run</t>
        </is>
      </c>
      <c r="G15" t="inlineStr" s="4">
        <is>
          <t>Representative routes may be selected per role.</t>
        </is>
      </c>
    </row>
    <row r="16" ht="22" customHeight="1">
      <c r="A16" t="inlineStr" s="4">
        <is>
          <t>iOS</t>
        </is>
      </c>
      <c r="B16" t="inlineStr" s="4">
        <is>
          <t>Safari</t>
        </is>
      </c>
      <c r="C16" t="inlineStr" s="4">
        <is>
          <t>430x932</t>
        </is>
      </c>
      <c r="D16" t="inlineStr" s="4">
        <is>
          <t>Homepage / Catalog / Detail / Checkout / Admin table / Mitra QR</t>
        </is>
      </c>
      <c r="E16" t="inlineStr" s="4">
        <is>
          <t>No horizontal overflow, readable text, touch/click targets usable, no console blocking error</t>
        </is>
      </c>
      <c r="F16" t="inlineStr" s="4">
        <is>
          <t>Not Run</t>
        </is>
      </c>
      <c r="G16" t="inlineStr" s="4">
        <is>
          <t>Representative routes may be selected per role.</t>
        </is>
      </c>
    </row>
    <row r="17" ht="22" customHeight="1">
      <c r="A17" t="inlineStr" s="4">
        <is>
          <t>iOS</t>
        </is>
      </c>
      <c r="B17" t="inlineStr" s="4">
        <is>
          <t>Safari</t>
        </is>
      </c>
      <c r="C17" t="inlineStr" s="4">
        <is>
          <t>768x1024</t>
        </is>
      </c>
      <c r="D17" t="inlineStr" s="4">
        <is>
          <t>Homepage / Catalog / Detail / Checkout / Admin table / Mitra QR</t>
        </is>
      </c>
      <c r="E17" t="inlineStr" s="4">
        <is>
          <t>No horizontal overflow, readable text, touch/click targets usable, no console blocking error</t>
        </is>
      </c>
      <c r="F17" t="inlineStr" s="4">
        <is>
          <t>Not Run</t>
        </is>
      </c>
      <c r="G17" t="inlineStr" s="4">
        <is>
          <t>Representative routes may be selected per role.</t>
        </is>
      </c>
    </row>
    <row r="18" ht="22" customHeight="1">
      <c r="A18" t="inlineStr" s="4">
        <is>
          <t>Tablet</t>
        </is>
      </c>
      <c r="B18" t="inlineStr" s="4">
        <is>
          <t>Safari/Chrome</t>
        </is>
      </c>
      <c r="C18" t="inlineStr" s="4">
        <is>
          <t>360x800</t>
        </is>
      </c>
      <c r="D18" t="inlineStr" s="4">
        <is>
          <t>Homepage / Catalog / Detail / Checkout / Admin table / Mitra QR</t>
        </is>
      </c>
      <c r="E18" t="inlineStr" s="4">
        <is>
          <t>No horizontal overflow, readable text, touch/click targets usable, no console blocking error</t>
        </is>
      </c>
      <c r="F18" t="inlineStr" s="4">
        <is>
          <t>Not Run</t>
        </is>
      </c>
      <c r="G18" t="inlineStr" s="4">
        <is>
          <t>Representative routes may be selected per role.</t>
        </is>
      </c>
    </row>
    <row r="19" ht="22" customHeight="1">
      <c r="A19" t="inlineStr" s="4">
        <is>
          <t>Tablet</t>
        </is>
      </c>
      <c r="B19" t="inlineStr" s="4">
        <is>
          <t>Safari/Chrome</t>
        </is>
      </c>
      <c r="C19" t="inlineStr" s="4">
        <is>
          <t>375x812</t>
        </is>
      </c>
      <c r="D19" t="inlineStr" s="4">
        <is>
          <t>Homepage / Catalog / Detail / Checkout / Admin table / Mitra QR</t>
        </is>
      </c>
      <c r="E19" t="inlineStr" s="4">
        <is>
          <t>No horizontal overflow, readable text, touch/click targets usable, no console blocking error</t>
        </is>
      </c>
      <c r="F19" t="inlineStr" s="4">
        <is>
          <t>Not Run</t>
        </is>
      </c>
      <c r="G19" t="inlineStr" s="4">
        <is>
          <t>Representative routes may be selected per role.</t>
        </is>
      </c>
    </row>
    <row r="20" ht="22" customHeight="1">
      <c r="A20" t="inlineStr" s="4">
        <is>
          <t>Tablet</t>
        </is>
      </c>
      <c r="B20" t="inlineStr" s="4">
        <is>
          <t>Safari/Chrome</t>
        </is>
      </c>
      <c r="C20" t="inlineStr" s="4">
        <is>
          <t>390x844</t>
        </is>
      </c>
      <c r="D20" t="inlineStr" s="4">
        <is>
          <t>Homepage / Catalog / Detail / Checkout / Admin table / Mitra QR</t>
        </is>
      </c>
      <c r="E20" t="inlineStr" s="4">
        <is>
          <t>No horizontal overflow, readable text, touch/click targets usable, no console blocking error</t>
        </is>
      </c>
      <c r="F20" t="inlineStr" s="4">
        <is>
          <t>Not Run</t>
        </is>
      </c>
      <c r="G20" t="inlineStr" s="4">
        <is>
          <t>Representative routes may be selected per role.</t>
        </is>
      </c>
    </row>
    <row r="21" ht="22" customHeight="1">
      <c r="A21" t="inlineStr" s="4">
        <is>
          <t>Tablet</t>
        </is>
      </c>
      <c r="B21" t="inlineStr" s="4">
        <is>
          <t>Safari/Chrome</t>
        </is>
      </c>
      <c r="C21" t="inlineStr" s="4">
        <is>
          <t>430x932</t>
        </is>
      </c>
      <c r="D21" t="inlineStr" s="4">
        <is>
          <t>Homepage / Catalog / Detail / Checkout / Admin table / Mitra QR</t>
        </is>
      </c>
      <c r="E21" t="inlineStr" s="4">
        <is>
          <t>No horizontal overflow, readable text, touch/click targets usable, no console blocking error</t>
        </is>
      </c>
      <c r="F21" t="inlineStr" s="4">
        <is>
          <t>Not Run</t>
        </is>
      </c>
      <c r="G21" t="inlineStr" s="4">
        <is>
          <t>Representative routes may be selected per role.</t>
        </is>
      </c>
    </row>
    <row r="22" ht="22" customHeight="1">
      <c r="A22" t="inlineStr" s="4">
        <is>
          <t>Tablet</t>
        </is>
      </c>
      <c r="B22" t="inlineStr" s="4">
        <is>
          <t>Safari/Chrome</t>
        </is>
      </c>
      <c r="C22" t="inlineStr" s="4">
        <is>
          <t>768x1024</t>
        </is>
      </c>
      <c r="D22" t="inlineStr" s="4">
        <is>
          <t>Homepage / Catalog / Detail / Checkout / Admin table / Mitra QR</t>
        </is>
      </c>
      <c r="E22" t="inlineStr" s="4">
        <is>
          <t>No horizontal overflow, readable text, touch/click targets usable, no console blocking error</t>
        </is>
      </c>
      <c r="F22" t="inlineStr" s="4">
        <is>
          <t>Not Run</t>
        </is>
      </c>
      <c r="G22" t="inlineStr" s="4">
        <is>
          <t>Representative routes may be selected per role.</t>
        </is>
      </c>
    </row>
    <row r="23" ht="22" customHeight="1">
      <c r="A23" t="inlineStr" s="4">
        <is>
          <t>Tablet</t>
        </is>
      </c>
      <c r="B23" t="inlineStr" s="4">
        <is>
          <t>Safari/Chrome</t>
        </is>
      </c>
      <c r="C23" t="inlineStr" s="4">
        <is>
          <t>1366x768</t>
        </is>
      </c>
      <c r="D23" t="inlineStr" s="4">
        <is>
          <t>Homepage / Catalog / Detail / Checkout / Admin table / Mitra QR</t>
        </is>
      </c>
      <c r="E23" t="inlineStr" s="4">
        <is>
          <t>No horizontal overflow, readable text, touch/click targets usable, no console blocking error</t>
        </is>
      </c>
      <c r="F23" t="inlineStr" s="4">
        <is>
          <t>Not Run</t>
        </is>
      </c>
      <c r="G23" t="inlineStr" s="4">
        <is>
          <t>Representative routes may be selected per role.</t>
        </is>
      </c>
    </row>
    <row r="24" ht="22" customHeight="1">
      <c r="A24" t="inlineStr" s="4">
        <is>
          <t>Tablet</t>
        </is>
      </c>
      <c r="B24" t="inlineStr" s="4">
        <is>
          <t>Safari/Chrome</t>
        </is>
      </c>
      <c r="C24" t="inlineStr" s="4">
        <is>
          <t>1440x900</t>
        </is>
      </c>
      <c r="D24" t="inlineStr" s="4">
        <is>
          <t>Homepage / Catalog / Detail / Checkout / Admin table / Mitra QR</t>
        </is>
      </c>
      <c r="E24" t="inlineStr" s="4">
        <is>
          <t>No horizontal overflow, readable text, touch/click targets usable, no console blocking error</t>
        </is>
      </c>
      <c r="F24" t="inlineStr" s="4">
        <is>
          <t>Not Run</t>
        </is>
      </c>
      <c r="G24" t="inlineStr" s="4">
        <is>
          <t>Representative routes may be selected per role.</t>
        </is>
      </c>
    </row>
  </sheetData>
  <autoFilter ref="A1:G24"/>
  <conditionalFormatting sqref="F2:F1000">
    <cfRule type="containsText" priority="1" operator="containsText" text="Passed" dxfId="0">
      <formula>NOT(ISERROR(SEARCH("Passed",F2)))</formula>
    </cfRule>
    <cfRule type="containsText" priority="2" operator="containsText" text="Failed" dxfId="1">
      <formula>NOT(ISERROR(SEARCH("Failed",F2)))</formula>
    </cfRule>
    <cfRule type="containsText" priority="3" operator="containsText" text="Blocked" dxfId="2">
      <formula>NOT(ISERROR(SEARCH("Blocked",F2)))</formula>
    </cfRule>
    <cfRule type="containsText" priority="4" operator="containsText" text="Retest" dxfId="3">
      <formula>NOT(ISERROR(SEARCH("Retest",F2)))</formula>
    </cfRule>
    <cfRule type="containsText" priority="5" operator="containsText" text="Not Run" dxfId="4">
      <formula>NOT(ISERROR(SEARCH("Not Run",F2)))</formula>
    </cfRule>
  </conditionalFormatting>
  <dataValidations count="1">
    <dataValidation type="list" allowBlank="1" showErrorMessage="1" sqref="F2:F1000">
      <formula1>"Not Run,Passed,Failed,Blocked,Retest,Skipped,N/A"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2" customWidth="1"/>
    <col min="3" max="3" width="58" customWidth="1"/>
    <col min="4" max="4" width="42" customWidth="1"/>
    <col min="5" max="5" width="35" customWidth="1"/>
    <col min="6" max="6" width="90" customWidth="1"/>
    <col min="7" max="7" width="18" customWidth="1"/>
    <col min="8" max="8" width="45" customWidth="1"/>
  </cols>
  <sheetData>
    <row r="1" ht="28" customHeight="1">
      <c r="A1" t="inlineStr" s="2">
        <is>
          <t>Requirement ID</t>
        </is>
      </c>
      <c r="B1" t="inlineStr" s="2">
        <is>
          <t>Module</t>
        </is>
      </c>
      <c r="C1" t="inlineStr" s="2">
        <is>
          <t>Requirement / Feature</t>
        </is>
      </c>
      <c r="D1" t="inlineStr" s="2">
        <is>
          <t>Route / Source</t>
        </is>
      </c>
      <c r="E1" t="inlineStr" s="2">
        <is>
          <t>Scenario ID</t>
        </is>
      </c>
      <c r="F1" t="inlineStr" s="2">
        <is>
          <t>Test Case IDs</t>
        </is>
      </c>
      <c r="G1" t="inlineStr" s="2">
        <is>
          <t>Coverage Status</t>
        </is>
      </c>
      <c r="H1" t="inlineStr" s="2">
        <is>
          <t>Notes</t>
        </is>
      </c>
    </row>
    <row r="2" ht="22" customHeight="1">
      <c r="A2" t="inlineStr" s="4">
        <is>
          <t>REQ-AUTH-001</t>
        </is>
      </c>
      <c r="B2" t="inlineStr" s="4">
        <is>
          <t>Authentication</t>
        </is>
      </c>
      <c r="C2" t="inlineStr" s="4">
        <is>
          <t>Users can register, login, logout, verify email, reset password, use 2FA/passkeys where configured</t>
        </is>
      </c>
      <c r="D2" t="inlineStr" s="4">
        <is>
          <t>/login, /register, /forgot-password, /api/auth/*</t>
        </is>
      </c>
      <c r="E2" t="inlineStr" s="4">
        <is>
          <t>TS-AUTH-001, TS-AUTH-002, TS-AUTH-003</t>
        </is>
      </c>
      <c r="F2" t="inlineStr" s="4">
        <is>
          <t>TC-AUTH-001, TC-AUTH-002, TC-AUTH-003, TC-AUTH-004, TC-AUTH-005, TC-AUTH-006, TC-AUTH-007, TC-AUTH-008, TC-AUTH-009, TC-AUTH-010, TC-AUTH-011, TC-AUTH-012, TC-AUTH-013, TC-AUTH-014, TC-AUTH-015</t>
        </is>
      </c>
      <c r="G2" t="inlineStr" s="4">
        <is>
          <t>Covered</t>
        </is>
      </c>
      <c r="H2" s="4"/>
    </row>
    <row r="3" ht="22" customHeight="1">
      <c r="A3" t="inlineStr" s="4">
        <is>
          <t>REQ-USER-001</t>
        </is>
      </c>
      <c r="B3" t="inlineStr" s="4">
        <is>
          <t>User Account</t>
        </is>
      </c>
      <c r="C3" t="inlineStr" s="4">
        <is>
          <t>Authenticated users can manage profile, password, social/media settings, notifications, and history</t>
        </is>
      </c>
      <c r="D3" t="inlineStr" s="4">
        <is>
          <t>/settings/profile, /settings/password, /notifications, /history, /api/profile/*</t>
        </is>
      </c>
      <c r="E3" t="inlineStr" s="4">
        <is>
          <t>TS-USER-001</t>
        </is>
      </c>
      <c r="F3" t="inlineStr" s="4">
        <is>
          <t>TC-USER-001, TC-USER-002, TC-USER-003, TC-USER-004, TC-USER-005, TC-USER-006, TC-USER-007, TC-USER-008, TC-USER-009, TC-USER-010</t>
        </is>
      </c>
      <c r="G3" t="inlineStr" s="4">
        <is>
          <t>Covered</t>
        </is>
      </c>
      <c r="H3" s="4"/>
    </row>
    <row r="4" ht="22" customHeight="1">
      <c r="A4" t="inlineStr" s="4">
        <is>
          <t>REQ-HOME-001</t>
        </is>
      </c>
      <c r="B4" t="inlineStr" s="4">
        <is>
          <t>Public Home</t>
        </is>
      </c>
      <c r="C4" t="inlineStr" s="4">
        <is>
          <t>Homepage displays tourism-first banner, categories, promo special, partner, part-of, and product sections from managed content</t>
        </is>
      </c>
      <c r="D4" t="inlineStr" s="4">
        <is>
          <t>/, /admin/public/home, /api/mobile/home</t>
        </is>
      </c>
      <c r="E4" t="inlineStr" s="4">
        <is>
          <t>TS-HOME-001</t>
        </is>
      </c>
      <c r="F4" t="inlineStr" s="4">
        <is>
          <t>TC-HOME-001, TC-HOME-002, TC-HOME-003, TC-HOME-004, TC-HOME-005, TC-HOME-006, TC-HOME-007, TC-HOME-008, TC-HOME-009, TC-HOME-010</t>
        </is>
      </c>
      <c r="G4" t="inlineStr" s="4">
        <is>
          <t>Covered</t>
        </is>
      </c>
      <c r="H4" s="4"/>
    </row>
    <row r="5" ht="22" customHeight="1">
      <c r="A5" t="inlineStr" s="4">
        <is>
          <t>REQ-CONTENT-001</t>
        </is>
      </c>
      <c r="B5" t="inlineStr" s="4">
        <is>
          <t>Public Content</t>
        </is>
      </c>
      <c r="C5" t="inlineStr" s="4">
        <is>
          <t>Admin can manage public banners, partners, part-of logos, FAQ, contact, about, privacy, promo items/videos</t>
        </is>
      </c>
      <c r="D5" t="inlineStr" s="4">
        <is>
          <t>/admin/public/*</t>
        </is>
      </c>
      <c r="E5" t="inlineStr" s="4">
        <is>
          <t>TS-ADMIN-CONTENT-001</t>
        </is>
      </c>
      <c r="F5" t="inlineStr" s="4">
        <is>
          <t>TC-ADMIN-CONTENT-001, TC-ADMIN-CONTENT-101, TC-ADMIN-CONTENT-002, TC-ADMIN-CONTENT-102, TC-ADMIN-CONTENT-003, TC-ADMIN-CONTENT-103, TC-ADMIN-CONTENT-004, TC-ADMIN-CONTENT-104, TC-ADMIN-CONTENT-005, TC-ADMIN-CONTENT-105, TC-ADMIN-CONTENT-006, TC-ADMIN-CONTENT-106, TC-ADMIN-CONTENT-007, TC-ADMIN-CONTENT-107, TC-ADMIN-CONTENT-008, TC-ADMIN-CONTENT-108, TC-ADMIN-CONTENT-009, TC-ADMIN-CONTENT-109, TC-ADMIN-CONTENT-010, TC-ADMIN-CONTENT-110</t>
        </is>
      </c>
      <c r="G5" t="inlineStr" s="4">
        <is>
          <t>Covered</t>
        </is>
      </c>
      <c r="H5" s="4"/>
    </row>
    <row r="6" ht="22" customHeight="1">
      <c r="A6" t="inlineStr" s="4">
        <is>
          <t>REQ-WISATA-CATALOG-001</t>
        </is>
      </c>
      <c r="B6" t="inlineStr" s="4">
        <is>
          <t>Wisata Catalog</t>
        </is>
      </c>
      <c r="C6" t="inlineStr" s="4">
        <is>
          <t>Public users can search and filter live wisata destinations and open details</t>
        </is>
      </c>
      <c r="D6" t="inlineStr" s="4">
        <is>
          <t>/wisata, /wisata/{destination}, /api/products/wisata</t>
        </is>
      </c>
      <c r="E6" t="inlineStr" s="4">
        <is>
          <t>TS-CATALOG-001, TS-WISATA-DETAIL-001</t>
        </is>
      </c>
      <c r="F6" t="inlineStr" s="4">
        <is>
          <t>TC-CATALOG-001, TC-CATALOG-002, TC-CATALOG-003, TC-CATALOG-004, TC-CATALOG-005, TC-CATALOG-006, TC-CATALOG-007, TC-CATALOG-008, TC-CATALOG-009, TC-CATALOG-010, TC-WISATA-DETAIL-001, TC-WISATA-DETAIL-002, TC-WISATA-DETAIL-003, TC-WISATA-DETAIL-004, TC-WISATA-DETAIL-005, TC-WISATA-DETAIL-006, TC-WISATA-DETAIL-007, TC-WISATA-DETAIL-008, TC-WISATA-DETAIL-009, TC-WISATA-DETAIL-010</t>
        </is>
      </c>
      <c r="G6" t="inlineStr" s="4">
        <is>
          <t>Covered</t>
        </is>
      </c>
      <c r="H6" s="4"/>
    </row>
    <row r="7" ht="22" customHeight="1">
      <c r="A7" t="inlineStr" s="4">
        <is>
          <t>REQ-WISATA-BOOKING-001</t>
        </is>
      </c>
      <c r="B7" t="inlineStr" s="4">
        <is>
          <t>Wisata Booking</t>
        </is>
      </c>
      <c r="C7" t="inlineStr" s="4">
        <is>
          <t>Users can select tickets, apply voucher, create booking, pay, view e-ticket, and receive scan-ready ticket</t>
        </is>
      </c>
      <c r="D7" t="inlineStr" s="4">
        <is>
          <t>/wisata/booking/*, /api/wisata/bookings/*</t>
        </is>
      </c>
      <c r="E7" t="inlineStr" s="4">
        <is>
          <t>TS-WISATA-BOOKING-001</t>
        </is>
      </c>
      <c r="F7" t="inlineStr" s="4">
        <is>
          <t>TC-WISATA-BOOKING-001, TC-WISATA-BOOKING-002, TC-WISATA-BOOKING-003, TC-WISATA-BOOKING-004, TC-WISATA-BOOKING-005, TC-WISATA-BOOKING-006, TC-WISATA-BOOKING-007, TC-WISATA-BOOKING-008, TC-WISATA-BOOKING-009, TC-WISATA-BOOKING-010, TC-WISATA-BOOKING-011, TC-WISATA-BOOKING-012, TC-WISATA-BOOKING-013, TC-WISATA-BOOKING-014, TC-WISATA-BOOKING-015, TC-WISATA-BOOKING-016, TC-WISATA-BOOKING-017, TC-WISATA-BOOKING-018</t>
        </is>
      </c>
      <c r="G7" t="inlineStr" s="4">
        <is>
          <t>Covered</t>
        </is>
      </c>
      <c r="H7" s="4"/>
    </row>
    <row r="8" ht="22" customHeight="1">
      <c r="A8" t="inlineStr" s="4">
        <is>
          <t>REQ-WISATA-SCAN-001</t>
        </is>
      </c>
      <c r="B8" t="inlineStr" s="4">
        <is>
          <t>Wisata Ticket Scan</t>
        </is>
      </c>
      <c r="C8" t="inlineStr" s="4">
        <is>
          <t>Users scan mitra QR, select owned paid ticket item, and ticket can only be used once</t>
        </is>
      </c>
      <c r="D8" t="inlineStr" s="4">
        <is>
          <t>/tickets/scan, /api/wisata/ticket-scans/*</t>
        </is>
      </c>
      <c r="E8" t="inlineStr" s="4">
        <is>
          <t>TS-WISATA-SCAN-001</t>
        </is>
      </c>
      <c r="F8" t="inlineStr" s="4">
        <is>
          <t>TC-WISATA-SCAN-001, TC-WISATA-SCAN-002, TC-WISATA-SCAN-003, TC-WISATA-SCAN-004, TC-WISATA-SCAN-005, TC-WISATA-SCAN-006, TC-WISATA-SCAN-007, TC-WISATA-SCAN-008, TC-WISATA-SCAN-009, TC-WISATA-SCAN-010</t>
        </is>
      </c>
      <c r="G8" t="inlineStr" s="4">
        <is>
          <t>Covered</t>
        </is>
      </c>
      <c r="H8" s="4"/>
    </row>
    <row r="9" ht="22" customHeight="1">
      <c r="A9" t="inlineStr" s="4">
        <is>
          <t>REQ-ADMIN-WISATA-001</t>
        </is>
      </c>
      <c r="B9" t="inlineStr" s="4">
        <is>
          <t>Admin Wisata</t>
        </is>
      </c>
      <c r="C9" t="inlineStr" s="4">
        <is>
          <t>Admin can manage wisata destinations, tickets/packages, bookings, scans, content moderation, exceptions, finance, and vouchers</t>
        </is>
      </c>
      <c r="D9" t="inlineStr" s="4">
        <is>
          <t>/admin/wisata/*</t>
        </is>
      </c>
      <c r="E9" t="inlineStr" s="4">
        <is>
          <t>TS-ADMIN-WISATA-001</t>
        </is>
      </c>
      <c r="F9" t="inlineStr" s="4">
        <is>
          <t>TC-ADMIN-WISATA-001, TC-ADMIN-WISATA-002, TC-ADMIN-WISATA-003, TC-ADMIN-WISATA-004, TC-ADMIN-WISATA-005, TC-ADMIN-WISATA-006, TC-ADMIN-WISATA-007, TC-ADMIN-WISATA-008, TC-ADMIN-WISATA-009, TC-ADMIN-WISATA-010, TC-ADMIN-WISATA-011, TC-ADMIN-WISATA-012, TC-ADMIN-WISATA-013, TC-ADMIN-WISATA-014, TC-ADMIN-WISATA-015, TC-ADMIN-WISATA-016, TC-ADMIN-WISATA-017, TC-ADMIN-WISATA-018, TC-ADMIN-WISATA-019, TC-ADMIN-WISATA-020, TC-ADMIN-WISATA-021, TC-ADMIN-WISATA-022, TC-ADMIN-WISATA-023, TC-ADMIN-WISATA-024, TC-ADMIN-WISATA-025</t>
        </is>
      </c>
      <c r="G9" t="inlineStr" s="4">
        <is>
          <t>Covered</t>
        </is>
      </c>
      <c r="H9" s="4"/>
    </row>
    <row r="10" ht="22" customHeight="1">
      <c r="A10" t="inlineStr" s="4">
        <is>
          <t>REQ-ADMIN-MITRA-001</t>
        </is>
      </c>
      <c r="B10" t="inlineStr" s="4">
        <is>
          <t>Admin Mitra Wisata</t>
        </is>
      </c>
      <c r="C10" t="inlineStr" s="4">
        <is>
          <t>Admin can manage wisata partners, onboarding status, verification, suspension, documents, payout status</t>
        </is>
      </c>
      <c r="D10" t="inlineStr" s="4">
        <is>
          <t>/admin/mitra-wisata, /admin/mitra-documents</t>
        </is>
      </c>
      <c r="E10" t="inlineStr" s="4">
        <is>
          <t>TS-ADMIN-MITRA-001</t>
        </is>
      </c>
      <c r="F10" t="inlineStr" s="4">
        <is>
          <t>TC-ADMIN-MITRA-001, TC-ADMIN-MITRA-002, TC-ADMIN-MITRA-003, TC-ADMIN-MITRA-004, TC-ADMIN-MITRA-005, TC-ADMIN-MITRA-006, TC-ADMIN-MITRA-007</t>
        </is>
      </c>
      <c r="G10" t="inlineStr" s="4">
        <is>
          <t>Covered</t>
        </is>
      </c>
      <c r="H10" s="4"/>
    </row>
    <row r="11" ht="22" customHeight="1">
      <c r="A11" t="inlineStr" s="4">
        <is>
          <t>REQ-MITRA-001</t>
        </is>
      </c>
      <c r="B11" t="inlineStr" s="4">
        <is>
          <t>Mitra Wisata</t>
        </is>
      </c>
      <c r="C11" t="inlineStr" s="4">
        <is>
          <t>Mitra can manage owned wisata profile, tickets, bookings, QR poster, scans, staff, finance, disputes, reviews</t>
        </is>
      </c>
      <c r="D11" t="inlineStr" s="4">
        <is>
          <t>/mitra/wisata/*</t>
        </is>
      </c>
      <c r="E11" t="inlineStr" s="4">
        <is>
          <t>TS-MITRA-001</t>
        </is>
      </c>
      <c r="F11" t="inlineStr" s="4">
        <is>
          <t>TC-MITRA-001, TC-MITRA-002, TC-MITRA-003, TC-MITRA-004, TC-MITRA-005, TC-MITRA-006, TC-MITRA-007, TC-MITRA-008, TC-MITRA-009, TC-MITRA-010, TC-MITRA-011, TC-MITRA-012, TC-MITRA-013, TC-MITRA-014, TC-MITRA-015, TC-MITRA-016, TC-MITRA-017, TC-MITRA-018, TC-MITRA-019, TC-MITRA-020</t>
        </is>
      </c>
      <c r="G11" t="inlineStr" s="4">
        <is>
          <t>Covered</t>
        </is>
      </c>
      <c r="H11" s="4"/>
    </row>
    <row r="12" ht="22" customHeight="1">
      <c r="A12" t="inlineStr" s="4">
        <is>
          <t>REQ-API-001</t>
        </is>
      </c>
      <c r="B12" t="inlineStr" s="4">
        <is>
          <t>Mobile API</t>
        </is>
      </c>
      <c r="C12" t="inlineStr" s="4">
        <is>
          <t>Mobile app can use auth, discovery, public content, wisata booking, ticket scan, notifications, profile, chat, reviews</t>
        </is>
      </c>
      <c r="D12" t="inlineStr" s="4">
        <is>
          <t>/api/*</t>
        </is>
      </c>
      <c r="E12" t="inlineStr" s="4">
        <is>
          <t>TS-API-001</t>
        </is>
      </c>
      <c r="F12" t="inlineStr" s="4">
        <is>
          <t>TC-API-001, TC-API-002, TC-API-003, TC-API-004, TC-API-005, TC-API-006, TC-API-007, TC-API-008, TC-API-009, TC-API-010, TC-API-011, TC-API-012, TC-API-013, TC-API-014, TC-API-015, TC-API-016, TC-API-017, TC-API-018, TC-API-019, TC-API-020, TC-API-021, TC-API-022, TC-API-023, TC-API-024, TC-API-025, TC-API-026, TC-API-027, TC-API-028</t>
        </is>
      </c>
      <c r="G12" t="inlineStr" s="4">
        <is>
          <t>Covered</t>
        </is>
      </c>
      <c r="H12" s="4"/>
    </row>
    <row r="13" ht="22" customHeight="1">
      <c r="A13" t="inlineStr" s="4">
        <is>
          <t>REQ-SEC-001</t>
        </is>
      </c>
      <c r="B13" t="inlineStr" s="4">
        <is>
          <t>Security &amp; Access Control</t>
        </is>
      </c>
      <c r="C13" t="inlineStr" s="4">
        <is>
          <t>Routes enforce auth, role, verified state, CSRF/session/Sanctum protection, object ownership, and retired module blocking</t>
        </is>
      </c>
      <c r="D13" t="inlineStr" s="4">
        <is>
          <t>middleware, routes, tests</t>
        </is>
      </c>
      <c r="E13" t="inlineStr" s="4">
        <is>
          <t>TS-SEC-001</t>
        </is>
      </c>
      <c r="F13" t="inlineStr" s="4">
        <is>
          <t>TC-SEC-001, TC-SEC-002, TC-SEC-003, TC-SEC-004, TC-SEC-005, TC-SEC-006, TC-SEC-007, TC-SEC-008, TC-SEC-009, TC-SEC-010, TC-SEC-011, TC-SEC-012</t>
        </is>
      </c>
      <c r="G13" t="inlineStr" s="4">
        <is>
          <t>Covered</t>
        </is>
      </c>
      <c r="H13" s="4"/>
    </row>
    <row r="14" ht="22" customHeight="1">
      <c r="A14" t="inlineStr" s="4">
        <is>
          <t>REQ-RETIRE-001</t>
        </is>
      </c>
      <c r="B14" t="inlineStr" s="4">
        <is>
          <t>Retired Product Features</t>
        </is>
      </c>
      <c r="C14" t="inlineStr" s="4">
        <is>
          <t>Legacy hotel/event/academy/retail surfaces are blocked from active product surface unless explicitly retained/admin-only</t>
        </is>
      </c>
      <c r="D14" t="inlineStr" s="4">
        <is>
          <t>BlockRetiredProductFeatures</t>
        </is>
      </c>
      <c r="E14" t="inlineStr" s="4">
        <is>
          <t>TS-RETIRE-001</t>
        </is>
      </c>
      <c r="F14" t="inlineStr" s="4">
        <is>
          <t>TC-RETIRE-001, TC-RETIRE-002, TC-RETIRE-003, TC-RETIRE-004, TC-RETIRE-005, TC-RETIRE-006</t>
        </is>
      </c>
      <c r="G14" t="inlineStr" s="4">
        <is>
          <t>Covered</t>
        </is>
      </c>
      <c r="H14" s="4"/>
    </row>
  </sheetData>
  <autoFilter ref="A1:H1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40" customWidth="1"/>
    <col min="3" max="3" width="22" customWidth="1"/>
    <col min="4" max="4" width="18" customWidth="1"/>
    <col min="5" max="5" width="20" customWidth="1"/>
    <col min="6" max="6" width="38" customWidth="1"/>
    <col min="7" max="7" width="60" customWidth="1"/>
    <col min="8" max="8" width="50" customWidth="1"/>
    <col min="9" max="9" width="50" customWidth="1"/>
    <col min="10" max="10" width="14" customWidth="1"/>
    <col min="11" max="11" width="12" customWidth="1"/>
    <col min="12" max="12" width="18" customWidth="1"/>
    <col min="13" max="13" width="18" customWidth="1"/>
    <col min="14" max="14" width="18" customWidth="1"/>
    <col min="15" max="15" width="16" customWidth="1"/>
    <col min="16" max="16" width="16" customWidth="1"/>
    <col min="17" max="17" width="18" customWidth="1"/>
    <col min="18" max="18" width="30" customWidth="1"/>
    <col min="19" max="19" width="34" customWidth="1"/>
  </cols>
  <sheetData>
    <row r="1" ht="28" customHeight="1">
      <c r="A1" t="inlineStr" s="2">
        <is>
          <t>Bug ID</t>
        </is>
      </c>
      <c r="B1" t="inlineStr" s="2">
        <is>
          <t>Title</t>
        </is>
      </c>
      <c r="C1" t="inlineStr" s="2">
        <is>
          <t>Module</t>
        </is>
      </c>
      <c r="D1" t="inlineStr" s="2">
        <is>
          <t>Related Test Case</t>
        </is>
      </c>
      <c r="E1" t="inlineStr" s="2">
        <is>
          <t>Environment</t>
        </is>
      </c>
      <c r="F1" t="inlineStr" s="2">
        <is>
          <t>Precondition</t>
        </is>
      </c>
      <c r="G1" t="inlineStr" s="2">
        <is>
          <t>Steps to Reproduce</t>
        </is>
      </c>
      <c r="H1" t="inlineStr" s="2">
        <is>
          <t>Actual Result</t>
        </is>
      </c>
      <c r="I1" t="inlineStr" s="2">
        <is>
          <t>Expected Result</t>
        </is>
      </c>
      <c r="J1" t="inlineStr" s="2">
        <is>
          <t>Severity</t>
        </is>
      </c>
      <c r="K1" t="inlineStr" s="2">
        <is>
          <t>Priority</t>
        </is>
      </c>
      <c r="L1" t="inlineStr" s="2">
        <is>
          <t>Status</t>
        </is>
      </c>
      <c r="M1" t="inlineStr" s="2">
        <is>
          <t>Assignee</t>
        </is>
      </c>
      <c r="N1" t="inlineStr" s="2">
        <is>
          <t>Reporter</t>
        </is>
      </c>
      <c r="O1" t="inlineStr" s="2">
        <is>
          <t>Reported Date</t>
        </is>
      </c>
      <c r="P1" t="inlineStr" s="2">
        <is>
          <t>Resolved Date</t>
        </is>
      </c>
      <c r="Q1" t="inlineStr" s="2">
        <is>
          <t>Retest Status</t>
        </is>
      </c>
      <c r="R1" t="inlineStr" s="2">
        <is>
          <t>Screenshot / Evidence</t>
        </is>
      </c>
      <c r="S1" t="inlineStr" s="2">
        <is>
          <t>Notes</t>
        </is>
      </c>
    </row>
    <row r="2" ht="22" customHeight="1">
      <c r="A2" t="inlineStr" s="4">
        <is>
          <t>BUG-001</t>
        </is>
      </c>
      <c r="B2" s="4"/>
      <c r="C2" s="4"/>
      <c r="D2" s="4"/>
      <c r="E2" t="inlineStr" s="4">
        <is>
          <t>QA/Staging</t>
        </is>
      </c>
      <c r="F2" s="4"/>
      <c r="G2" s="4"/>
      <c r="H2" s="4"/>
      <c r="I2" s="4"/>
      <c r="J2" s="4"/>
      <c r="K2" s="4"/>
      <c r="L2" t="inlineStr" s="4">
        <is>
          <t>New</t>
        </is>
      </c>
      <c r="M2" s="4"/>
      <c r="N2" s="4"/>
      <c r="O2" s="4"/>
      <c r="P2" s="4"/>
      <c r="Q2" t="inlineStr" s="4">
        <is>
          <t>Not Run</t>
        </is>
      </c>
      <c r="R2" s="4"/>
      <c r="S2" s="4"/>
    </row>
    <row r="3" ht="22" customHeight="1">
      <c r="A3" t="inlineStr" s="4">
        <is>
          <t>BUG-002</t>
        </is>
      </c>
      <c r="B3" s="4"/>
      <c r="C3" s="4"/>
      <c r="D3" s="4"/>
      <c r="E3" t="inlineStr" s="4">
        <is>
          <t>QA/Staging</t>
        </is>
      </c>
      <c r="F3" s="4"/>
      <c r="G3" s="4"/>
      <c r="H3" s="4"/>
      <c r="I3" s="4"/>
      <c r="J3" s="4"/>
      <c r="K3" s="4"/>
      <c r="L3" t="inlineStr" s="4">
        <is>
          <t>New</t>
        </is>
      </c>
      <c r="M3" s="4"/>
      <c r="N3" s="4"/>
      <c r="O3" s="4"/>
      <c r="P3" s="4"/>
      <c r="Q3" t="inlineStr" s="4">
        <is>
          <t>Not Run</t>
        </is>
      </c>
      <c r="R3" s="4"/>
      <c r="S3" s="4"/>
    </row>
    <row r="4" ht="22" customHeight="1">
      <c r="A4" t="inlineStr" s="4">
        <is>
          <t>BUG-003</t>
        </is>
      </c>
      <c r="B4" s="4"/>
      <c r="C4" s="4"/>
      <c r="D4" s="4"/>
      <c r="E4" t="inlineStr" s="4">
        <is>
          <t>QA/Staging</t>
        </is>
      </c>
      <c r="F4" s="4"/>
      <c r="G4" s="4"/>
      <c r="H4" s="4"/>
      <c r="I4" s="4"/>
      <c r="J4" s="4"/>
      <c r="K4" s="4"/>
      <c r="L4" t="inlineStr" s="4">
        <is>
          <t>New</t>
        </is>
      </c>
      <c r="M4" s="4"/>
      <c r="N4" s="4"/>
      <c r="O4" s="4"/>
      <c r="P4" s="4"/>
      <c r="Q4" t="inlineStr" s="4">
        <is>
          <t>Not Run</t>
        </is>
      </c>
      <c r="R4" s="4"/>
      <c r="S4" s="4"/>
    </row>
    <row r="5" ht="22" customHeight="1">
      <c r="A5" t="inlineStr" s="4">
        <is>
          <t>BUG-004</t>
        </is>
      </c>
      <c r="B5" s="4"/>
      <c r="C5" s="4"/>
      <c r="D5" s="4"/>
      <c r="E5" t="inlineStr" s="4">
        <is>
          <t>QA/Staging</t>
        </is>
      </c>
      <c r="F5" s="4"/>
      <c r="G5" s="4"/>
      <c r="H5" s="4"/>
      <c r="I5" s="4"/>
      <c r="J5" s="4"/>
      <c r="K5" s="4"/>
      <c r="L5" t="inlineStr" s="4">
        <is>
          <t>New</t>
        </is>
      </c>
      <c r="M5" s="4"/>
      <c r="N5" s="4"/>
      <c r="O5" s="4"/>
      <c r="P5" s="4"/>
      <c r="Q5" t="inlineStr" s="4">
        <is>
          <t>Not Run</t>
        </is>
      </c>
      <c r="R5" s="4"/>
      <c r="S5" s="4"/>
    </row>
    <row r="6" ht="22" customHeight="1">
      <c r="A6" t="inlineStr" s="4">
        <is>
          <t>BUG-005</t>
        </is>
      </c>
      <c r="B6" s="4"/>
      <c r="C6" s="4"/>
      <c r="D6" s="4"/>
      <c r="E6" t="inlineStr" s="4">
        <is>
          <t>QA/Staging</t>
        </is>
      </c>
      <c r="F6" s="4"/>
      <c r="G6" s="4"/>
      <c r="H6" s="4"/>
      <c r="I6" s="4"/>
      <c r="J6" s="4"/>
      <c r="K6" s="4"/>
      <c r="L6" t="inlineStr" s="4">
        <is>
          <t>New</t>
        </is>
      </c>
      <c r="M6" s="4"/>
      <c r="N6" s="4"/>
      <c r="O6" s="4"/>
      <c r="P6" s="4"/>
      <c r="Q6" t="inlineStr" s="4">
        <is>
          <t>Not Run</t>
        </is>
      </c>
      <c r="R6" s="4"/>
      <c r="S6" s="4"/>
    </row>
    <row r="7" ht="22" customHeight="1">
      <c r="A7" t="inlineStr" s="4">
        <is>
          <t>BUG-006</t>
        </is>
      </c>
      <c r="B7" s="4"/>
      <c r="C7" s="4"/>
      <c r="D7" s="4"/>
      <c r="E7" t="inlineStr" s="4">
        <is>
          <t>QA/Staging</t>
        </is>
      </c>
      <c r="F7" s="4"/>
      <c r="G7" s="4"/>
      <c r="H7" s="4"/>
      <c r="I7" s="4"/>
      <c r="J7" s="4"/>
      <c r="K7" s="4"/>
      <c r="L7" t="inlineStr" s="4">
        <is>
          <t>New</t>
        </is>
      </c>
      <c r="M7" s="4"/>
      <c r="N7" s="4"/>
      <c r="O7" s="4"/>
      <c r="P7" s="4"/>
      <c r="Q7" t="inlineStr" s="4">
        <is>
          <t>Not Run</t>
        </is>
      </c>
      <c r="R7" s="4"/>
      <c r="S7" s="4"/>
    </row>
    <row r="8" ht="22" customHeight="1">
      <c r="A8" t="inlineStr" s="4">
        <is>
          <t>BUG-007</t>
        </is>
      </c>
      <c r="B8" s="4"/>
      <c r="C8" s="4"/>
      <c r="D8" s="4"/>
      <c r="E8" t="inlineStr" s="4">
        <is>
          <t>QA/Staging</t>
        </is>
      </c>
      <c r="F8" s="4"/>
      <c r="G8" s="4"/>
      <c r="H8" s="4"/>
      <c r="I8" s="4"/>
      <c r="J8" s="4"/>
      <c r="K8" s="4"/>
      <c r="L8" t="inlineStr" s="4">
        <is>
          <t>New</t>
        </is>
      </c>
      <c r="M8" s="4"/>
      <c r="N8" s="4"/>
      <c r="O8" s="4"/>
      <c r="P8" s="4"/>
      <c r="Q8" t="inlineStr" s="4">
        <is>
          <t>Not Run</t>
        </is>
      </c>
      <c r="R8" s="4"/>
      <c r="S8" s="4"/>
    </row>
    <row r="9" ht="22" customHeight="1">
      <c r="A9" t="inlineStr" s="4">
        <is>
          <t>BUG-008</t>
        </is>
      </c>
      <c r="B9" s="4"/>
      <c r="C9" s="4"/>
      <c r="D9" s="4"/>
      <c r="E9" t="inlineStr" s="4">
        <is>
          <t>QA/Staging</t>
        </is>
      </c>
      <c r="F9" s="4"/>
      <c r="G9" s="4"/>
      <c r="H9" s="4"/>
      <c r="I9" s="4"/>
      <c r="J9" s="4"/>
      <c r="K9" s="4"/>
      <c r="L9" t="inlineStr" s="4">
        <is>
          <t>New</t>
        </is>
      </c>
      <c r="M9" s="4"/>
      <c r="N9" s="4"/>
      <c r="O9" s="4"/>
      <c r="P9" s="4"/>
      <c r="Q9" t="inlineStr" s="4">
        <is>
          <t>Not Run</t>
        </is>
      </c>
      <c r="R9" s="4"/>
      <c r="S9" s="4"/>
    </row>
    <row r="10" ht="22" customHeight="1">
      <c r="A10" t="inlineStr" s="4">
        <is>
          <t>BUG-009</t>
        </is>
      </c>
      <c r="B10" s="4"/>
      <c r="C10" s="4"/>
      <c r="D10" s="4"/>
      <c r="E10" t="inlineStr" s="4">
        <is>
          <t>QA/Staging</t>
        </is>
      </c>
      <c r="F10" s="4"/>
      <c r="G10" s="4"/>
      <c r="H10" s="4"/>
      <c r="I10" s="4"/>
      <c r="J10" s="4"/>
      <c r="K10" s="4"/>
      <c r="L10" t="inlineStr" s="4">
        <is>
          <t>New</t>
        </is>
      </c>
      <c r="M10" s="4"/>
      <c r="N10" s="4"/>
      <c r="O10" s="4"/>
      <c r="P10" s="4"/>
      <c r="Q10" t="inlineStr" s="4">
        <is>
          <t>Not Run</t>
        </is>
      </c>
      <c r="R10" s="4"/>
      <c r="S10" s="4"/>
    </row>
    <row r="11" ht="22" customHeight="1">
      <c r="A11" t="inlineStr" s="4">
        <is>
          <t>BUG-010</t>
        </is>
      </c>
      <c r="B11" s="4"/>
      <c r="C11" s="4"/>
      <c r="D11" s="4"/>
      <c r="E11" t="inlineStr" s="4">
        <is>
          <t>QA/Staging</t>
        </is>
      </c>
      <c r="F11" s="4"/>
      <c r="G11" s="4"/>
      <c r="H11" s="4"/>
      <c r="I11" s="4"/>
      <c r="J11" s="4"/>
      <c r="K11" s="4"/>
      <c r="L11" t="inlineStr" s="4">
        <is>
          <t>New</t>
        </is>
      </c>
      <c r="M11" s="4"/>
      <c r="N11" s="4"/>
      <c r="O11" s="4"/>
      <c r="P11" s="4"/>
      <c r="Q11" t="inlineStr" s="4">
        <is>
          <t>Not Run</t>
        </is>
      </c>
      <c r="R11" s="4"/>
      <c r="S11" s="4"/>
    </row>
    <row r="12" ht="22" customHeight="1">
      <c r="A12" t="inlineStr" s="4">
        <is>
          <t>BUG-011</t>
        </is>
      </c>
      <c r="B12" s="4"/>
      <c r="C12" s="4"/>
      <c r="D12" s="4"/>
      <c r="E12" t="inlineStr" s="4">
        <is>
          <t>QA/Staging</t>
        </is>
      </c>
      <c r="F12" s="4"/>
      <c r="G12" s="4"/>
      <c r="H12" s="4"/>
      <c r="I12" s="4"/>
      <c r="J12" s="4"/>
      <c r="K12" s="4"/>
      <c r="L12" t="inlineStr" s="4">
        <is>
          <t>New</t>
        </is>
      </c>
      <c r="M12" s="4"/>
      <c r="N12" s="4"/>
      <c r="O12" s="4"/>
      <c r="P12" s="4"/>
      <c r="Q12" t="inlineStr" s="4">
        <is>
          <t>Not Run</t>
        </is>
      </c>
      <c r="R12" s="4"/>
      <c r="S12" s="4"/>
    </row>
    <row r="13" ht="22" customHeight="1">
      <c r="A13" t="inlineStr" s="4">
        <is>
          <t>BUG-012</t>
        </is>
      </c>
      <c r="B13" s="4"/>
      <c r="C13" s="4"/>
      <c r="D13" s="4"/>
      <c r="E13" t="inlineStr" s="4">
        <is>
          <t>QA/Staging</t>
        </is>
      </c>
      <c r="F13" s="4"/>
      <c r="G13" s="4"/>
      <c r="H13" s="4"/>
      <c r="I13" s="4"/>
      <c r="J13" s="4"/>
      <c r="K13" s="4"/>
      <c r="L13" t="inlineStr" s="4">
        <is>
          <t>New</t>
        </is>
      </c>
      <c r="M13" s="4"/>
      <c r="N13" s="4"/>
      <c r="O13" s="4"/>
      <c r="P13" s="4"/>
      <c r="Q13" t="inlineStr" s="4">
        <is>
          <t>Not Run</t>
        </is>
      </c>
      <c r="R13" s="4"/>
      <c r="S13" s="4"/>
    </row>
    <row r="14" ht="22" customHeight="1">
      <c r="A14" t="inlineStr" s="4">
        <is>
          <t>BUG-013</t>
        </is>
      </c>
      <c r="B14" s="4"/>
      <c r="C14" s="4"/>
      <c r="D14" s="4"/>
      <c r="E14" t="inlineStr" s="4">
        <is>
          <t>QA/Staging</t>
        </is>
      </c>
      <c r="F14" s="4"/>
      <c r="G14" s="4"/>
      <c r="H14" s="4"/>
      <c r="I14" s="4"/>
      <c r="J14" s="4"/>
      <c r="K14" s="4"/>
      <c r="L14" t="inlineStr" s="4">
        <is>
          <t>New</t>
        </is>
      </c>
      <c r="M14" s="4"/>
      <c r="N14" s="4"/>
      <c r="O14" s="4"/>
      <c r="P14" s="4"/>
      <c r="Q14" t="inlineStr" s="4">
        <is>
          <t>Not Run</t>
        </is>
      </c>
      <c r="R14" s="4"/>
      <c r="S14" s="4"/>
    </row>
    <row r="15" ht="22" customHeight="1">
      <c r="A15" t="inlineStr" s="4">
        <is>
          <t>BUG-014</t>
        </is>
      </c>
      <c r="B15" s="4"/>
      <c r="C15" s="4"/>
      <c r="D15" s="4"/>
      <c r="E15" t="inlineStr" s="4">
        <is>
          <t>QA/Staging</t>
        </is>
      </c>
      <c r="F15" s="4"/>
      <c r="G15" s="4"/>
      <c r="H15" s="4"/>
      <c r="I15" s="4"/>
      <c r="J15" s="4"/>
      <c r="K15" s="4"/>
      <c r="L15" t="inlineStr" s="4">
        <is>
          <t>New</t>
        </is>
      </c>
      <c r="M15" s="4"/>
      <c r="N15" s="4"/>
      <c r="O15" s="4"/>
      <c r="P15" s="4"/>
      <c r="Q15" t="inlineStr" s="4">
        <is>
          <t>Not Run</t>
        </is>
      </c>
      <c r="R15" s="4"/>
      <c r="S15" s="4"/>
    </row>
    <row r="16" ht="22" customHeight="1">
      <c r="A16" t="inlineStr" s="4">
        <is>
          <t>BUG-015</t>
        </is>
      </c>
      <c r="B16" s="4"/>
      <c r="C16" s="4"/>
      <c r="D16" s="4"/>
      <c r="E16" t="inlineStr" s="4">
        <is>
          <t>QA/Staging</t>
        </is>
      </c>
      <c r="F16" s="4"/>
      <c r="G16" s="4"/>
      <c r="H16" s="4"/>
      <c r="I16" s="4"/>
      <c r="J16" s="4"/>
      <c r="K16" s="4"/>
      <c r="L16" t="inlineStr" s="4">
        <is>
          <t>New</t>
        </is>
      </c>
      <c r="M16" s="4"/>
      <c r="N16" s="4"/>
      <c r="O16" s="4"/>
      <c r="P16" s="4"/>
      <c r="Q16" t="inlineStr" s="4">
        <is>
          <t>Not Run</t>
        </is>
      </c>
      <c r="R16" s="4"/>
      <c r="S16" s="4"/>
    </row>
  </sheetData>
  <autoFilter ref="A1:S16"/>
  <conditionalFormatting sqref="J2:J1000">
    <cfRule type="containsText" priority="10" operator="containsText" text="Critical" dxfId="9">
      <formula>NOT(ISERROR(SEARCH("Critical",J2)))</formula>
    </cfRule>
    <cfRule type="containsText" priority="11" operator="containsText" text="High" dxfId="10">
      <formula>NOT(ISERROR(SEARCH("High",J2)))</formula>
    </cfRule>
    <cfRule type="containsText" priority="12" operator="containsText" text="Medium" dxfId="11">
      <formula>NOT(ISERROR(SEARCH("Medium",J2)))</formula>
    </cfRule>
    <cfRule type="containsText" priority="13" operator="containsText" text="Low" dxfId="12">
      <formula>NOT(ISERROR(SEARCH("Low",J2)))</formula>
    </cfRule>
  </conditionalFormatting>
  <conditionalFormatting sqref="K2:K1000">
    <cfRule type="containsText" priority="6" operator="containsText" text="P0" dxfId="5">
      <formula>NOT(ISERROR(SEARCH("P0",K2)))</formula>
    </cfRule>
    <cfRule type="containsText" priority="7" operator="containsText" text="P1" dxfId="6">
      <formula>NOT(ISERROR(SEARCH("P1",K2)))</formula>
    </cfRule>
    <cfRule type="containsText" priority="8" operator="containsText" text="P2" dxfId="7">
      <formula>NOT(ISERROR(SEARCH("P2",K2)))</formula>
    </cfRule>
    <cfRule type="containsText" priority="9" operator="containsText" text="P3" dxfId="8">
      <formula>NOT(ISERROR(SEARCH("P3",K2)))</formula>
    </cfRule>
  </conditionalFormatting>
  <conditionalFormatting sqref="L2:L1000"/>
  <conditionalFormatting sqref="Q2:Q1000">
    <cfRule type="containsText" priority="1" operator="containsText" text="Passed" dxfId="0">
      <formula>NOT(ISERROR(SEARCH("Passed",Q2)))</formula>
    </cfRule>
    <cfRule type="containsText" priority="2" operator="containsText" text="Failed" dxfId="1">
      <formula>NOT(ISERROR(SEARCH("Failed",Q2)))</formula>
    </cfRule>
    <cfRule type="containsText" priority="3" operator="containsText" text="Blocked" dxfId="2">
      <formula>NOT(ISERROR(SEARCH("Blocked",Q2)))</formula>
    </cfRule>
    <cfRule type="containsText" priority="4" operator="containsText" text="Retest" dxfId="3">
      <formula>NOT(ISERROR(SEARCH("Retest",Q2)))</formula>
    </cfRule>
    <cfRule type="containsText" priority="5" operator="containsText" text="Not Run" dxfId="4">
      <formula>NOT(ISERROR(SEARCH("Not Run",Q2)))</formula>
    </cfRule>
  </conditionalFormatting>
  <dataValidations count="4">
    <dataValidation type="list" allowBlank="1" showErrorMessage="1" sqref="J2:J1000">
      <formula1>"Critical,High,Medium,Low"</formula1>
    </dataValidation>
    <dataValidation type="list" allowBlank="1" showErrorMessage="1" sqref="K2:K1000">
      <formula1>"P0,P1,P2,P3"</formula1>
    </dataValidation>
    <dataValidation type="list" allowBlank="1" showErrorMessage="1" sqref="L2:L1000">
      <formula1>"New,Open,In Progress,Fixed,Ready for Retest,Reopened,Closed,Rejected,Duplicate,Deferred"</formula1>
    </dataValidation>
    <dataValidation type="list" allowBlank="1" showErrorMessage="1" sqref="Q2:Q1000">
      <formula1>"Not Run,Passed,Failed,Blocked,Retest,Skipped,N/A"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6" customWidth="1"/>
    <col min="3" max="3" width="18" customWidth="1"/>
    <col min="4" max="4" width="18" customWidth="1"/>
    <col min="5" max="5" width="16" customWidth="1"/>
    <col min="6" max="6" width="20" customWidth="1"/>
    <col min="7" max="7" width="18" customWidth="1"/>
    <col min="8" max="8" width="14" customWidth="1"/>
    <col min="9" max="9" width="14" customWidth="1"/>
    <col min="10" max="10" width="50" customWidth="1"/>
  </cols>
  <sheetData>
    <row r="1" ht="28" customHeight="1">
      <c r="A1" t="inlineStr" s="2">
        <is>
          <t>Execution ID</t>
        </is>
      </c>
      <c r="B1" t="inlineStr" s="2">
        <is>
          <t>Test Cycle</t>
        </is>
      </c>
      <c r="C1" t="inlineStr" s="2">
        <is>
          <t>Test Case ID</t>
        </is>
      </c>
      <c r="D1" t="inlineStr" s="2">
        <is>
          <t>Tester</t>
        </is>
      </c>
      <c r="E1" t="inlineStr" s="2">
        <is>
          <t>Execution Date</t>
        </is>
      </c>
      <c r="F1" t="inlineStr" s="2">
        <is>
          <t>Environment</t>
        </is>
      </c>
      <c r="G1" t="inlineStr" s="2">
        <is>
          <t>Build / Version</t>
        </is>
      </c>
      <c r="H1" t="inlineStr" s="2">
        <is>
          <t>Status</t>
        </is>
      </c>
      <c r="I1" t="inlineStr" s="2">
        <is>
          <t>Bug ID</t>
        </is>
      </c>
      <c r="J1" t="inlineStr" s="2">
        <is>
          <t>Comment</t>
        </is>
      </c>
    </row>
    <row r="2" ht="22" customHeight="1">
      <c r="A2" t="inlineStr" s="4">
        <is>
          <t>EXE-001</t>
        </is>
      </c>
      <c r="B2" t="inlineStr" s="4">
        <is>
          <t>Cycle 1</t>
        </is>
      </c>
      <c r="C2" t="inlineStr" s="4">
        <is>
          <t>TC-AUTH-001</t>
        </is>
      </c>
      <c r="D2" s="4"/>
      <c r="E2" s="4"/>
      <c r="F2" t="inlineStr" s="4">
        <is>
          <t>QA/Staging</t>
        </is>
      </c>
      <c r="G2" s="4"/>
      <c r="H2" t="inlineStr" s="4">
        <is>
          <t>Not Run</t>
        </is>
      </c>
      <c r="I2" s="4"/>
      <c r="J2" s="4"/>
    </row>
    <row r="3" ht="22" customHeight="1">
      <c r="A3" t="inlineStr" s="4">
        <is>
          <t>EXE-002</t>
        </is>
      </c>
      <c r="B3" t="inlineStr" s="4">
        <is>
          <t>Cycle 1</t>
        </is>
      </c>
      <c r="C3" t="inlineStr" s="4">
        <is>
          <t>TC-AUTH-002</t>
        </is>
      </c>
      <c r="D3" s="4"/>
      <c r="E3" s="4"/>
      <c r="F3" t="inlineStr" s="4">
        <is>
          <t>QA/Staging</t>
        </is>
      </c>
      <c r="G3" s="4"/>
      <c r="H3" t="inlineStr" s="4">
        <is>
          <t>Not Run</t>
        </is>
      </c>
      <c r="I3" s="4"/>
      <c r="J3" s="4"/>
    </row>
    <row r="4" ht="22" customHeight="1">
      <c r="A4" t="inlineStr" s="4">
        <is>
          <t>EXE-003</t>
        </is>
      </c>
      <c r="B4" t="inlineStr" s="4">
        <is>
          <t>Cycle 1</t>
        </is>
      </c>
      <c r="C4" t="inlineStr" s="4">
        <is>
          <t>TC-AUTH-003</t>
        </is>
      </c>
      <c r="D4" s="4"/>
      <c r="E4" s="4"/>
      <c r="F4" t="inlineStr" s="4">
        <is>
          <t>QA/Staging</t>
        </is>
      </c>
      <c r="G4" s="4"/>
      <c r="H4" t="inlineStr" s="4">
        <is>
          <t>Not Run</t>
        </is>
      </c>
      <c r="I4" s="4"/>
      <c r="J4" s="4"/>
    </row>
    <row r="5" ht="22" customHeight="1">
      <c r="A5" t="inlineStr" s="4">
        <is>
          <t>EXE-004</t>
        </is>
      </c>
      <c r="B5" t="inlineStr" s="4">
        <is>
          <t>Cycle 1</t>
        </is>
      </c>
      <c r="C5" t="inlineStr" s="4">
        <is>
          <t>TC-AUTH-004</t>
        </is>
      </c>
      <c r="D5" s="4"/>
      <c r="E5" s="4"/>
      <c r="F5" t="inlineStr" s="4">
        <is>
          <t>QA/Staging</t>
        </is>
      </c>
      <c r="G5" s="4"/>
      <c r="H5" t="inlineStr" s="4">
        <is>
          <t>Not Run</t>
        </is>
      </c>
      <c r="I5" s="4"/>
      <c r="J5" s="4"/>
    </row>
    <row r="6" ht="22" customHeight="1">
      <c r="A6" t="inlineStr" s="4">
        <is>
          <t>EXE-005</t>
        </is>
      </c>
      <c r="B6" t="inlineStr" s="4">
        <is>
          <t>Cycle 1</t>
        </is>
      </c>
      <c r="C6" t="inlineStr" s="4">
        <is>
          <t>TC-AUTH-005</t>
        </is>
      </c>
      <c r="D6" s="4"/>
      <c r="E6" s="4"/>
      <c r="F6" t="inlineStr" s="4">
        <is>
          <t>QA/Staging</t>
        </is>
      </c>
      <c r="G6" s="4"/>
      <c r="H6" t="inlineStr" s="4">
        <is>
          <t>Not Run</t>
        </is>
      </c>
      <c r="I6" s="4"/>
      <c r="J6" s="4"/>
    </row>
    <row r="7" ht="22" customHeight="1">
      <c r="A7" t="inlineStr" s="4">
        <is>
          <t>EXE-006</t>
        </is>
      </c>
      <c r="B7" t="inlineStr" s="4">
        <is>
          <t>Cycle 1</t>
        </is>
      </c>
      <c r="C7" t="inlineStr" s="4">
        <is>
          <t>TC-AUTH-006</t>
        </is>
      </c>
      <c r="D7" s="4"/>
      <c r="E7" s="4"/>
      <c r="F7" t="inlineStr" s="4">
        <is>
          <t>QA/Staging</t>
        </is>
      </c>
      <c r="G7" s="4"/>
      <c r="H7" t="inlineStr" s="4">
        <is>
          <t>Not Run</t>
        </is>
      </c>
      <c r="I7" s="4"/>
      <c r="J7" s="4"/>
    </row>
    <row r="8" ht="22" customHeight="1">
      <c r="A8" t="inlineStr" s="4">
        <is>
          <t>EXE-007</t>
        </is>
      </c>
      <c r="B8" t="inlineStr" s="4">
        <is>
          <t>Cycle 1</t>
        </is>
      </c>
      <c r="C8" t="inlineStr" s="4">
        <is>
          <t>TC-AUTH-007</t>
        </is>
      </c>
      <c r="D8" s="4"/>
      <c r="E8" s="4"/>
      <c r="F8" t="inlineStr" s="4">
        <is>
          <t>QA/Staging</t>
        </is>
      </c>
      <c r="G8" s="4"/>
      <c r="H8" t="inlineStr" s="4">
        <is>
          <t>Not Run</t>
        </is>
      </c>
      <c r="I8" s="4"/>
      <c r="J8" s="4"/>
    </row>
    <row r="9" ht="22" customHeight="1">
      <c r="A9" t="inlineStr" s="4">
        <is>
          <t>EXE-008</t>
        </is>
      </c>
      <c r="B9" t="inlineStr" s="4">
        <is>
          <t>Cycle 1</t>
        </is>
      </c>
      <c r="C9" t="inlineStr" s="4">
        <is>
          <t>TC-AUTH-008</t>
        </is>
      </c>
      <c r="D9" s="4"/>
      <c r="E9" s="4"/>
      <c r="F9" t="inlineStr" s="4">
        <is>
          <t>QA/Staging</t>
        </is>
      </c>
      <c r="G9" s="4"/>
      <c r="H9" t="inlineStr" s="4">
        <is>
          <t>Not Run</t>
        </is>
      </c>
      <c r="I9" s="4"/>
      <c r="J9" s="4"/>
    </row>
    <row r="10" ht="22" customHeight="1">
      <c r="A10" t="inlineStr" s="4">
        <is>
          <t>EXE-009</t>
        </is>
      </c>
      <c r="B10" t="inlineStr" s="4">
        <is>
          <t>Cycle 1</t>
        </is>
      </c>
      <c r="C10" t="inlineStr" s="4">
        <is>
          <t>TC-AUTH-009</t>
        </is>
      </c>
      <c r="D10" s="4"/>
      <c r="E10" s="4"/>
      <c r="F10" t="inlineStr" s="4">
        <is>
          <t>QA/Staging</t>
        </is>
      </c>
      <c r="G10" s="4"/>
      <c r="H10" t="inlineStr" s="4">
        <is>
          <t>Not Run</t>
        </is>
      </c>
      <c r="I10" s="4"/>
      <c r="J10" s="4"/>
    </row>
    <row r="11" ht="22" customHeight="1">
      <c r="A11" t="inlineStr" s="4">
        <is>
          <t>EXE-010</t>
        </is>
      </c>
      <c r="B11" t="inlineStr" s="4">
        <is>
          <t>Cycle 1</t>
        </is>
      </c>
      <c r="C11" t="inlineStr" s="4">
        <is>
          <t>TC-AUTH-010</t>
        </is>
      </c>
      <c r="D11" s="4"/>
      <c r="E11" s="4"/>
      <c r="F11" t="inlineStr" s="4">
        <is>
          <t>QA/Staging</t>
        </is>
      </c>
      <c r="G11" s="4"/>
      <c r="H11" t="inlineStr" s="4">
        <is>
          <t>Not Run</t>
        </is>
      </c>
      <c r="I11" s="4"/>
      <c r="J11" s="4"/>
    </row>
    <row r="12" ht="22" customHeight="1">
      <c r="A12" t="inlineStr" s="4">
        <is>
          <t>EXE-011</t>
        </is>
      </c>
      <c r="B12" t="inlineStr" s="4">
        <is>
          <t>Cycle 1</t>
        </is>
      </c>
      <c r="C12" t="inlineStr" s="4">
        <is>
          <t>TC-AUTH-011</t>
        </is>
      </c>
      <c r="D12" s="4"/>
      <c r="E12" s="4"/>
      <c r="F12" t="inlineStr" s="4">
        <is>
          <t>QA/Staging</t>
        </is>
      </c>
      <c r="G12" s="4"/>
      <c r="H12" t="inlineStr" s="4">
        <is>
          <t>Not Run</t>
        </is>
      </c>
      <c r="I12" s="4"/>
      <c r="J12" s="4"/>
    </row>
    <row r="13" ht="22" customHeight="1">
      <c r="A13" t="inlineStr" s="4">
        <is>
          <t>EXE-012</t>
        </is>
      </c>
      <c r="B13" t="inlineStr" s="4">
        <is>
          <t>Cycle 1</t>
        </is>
      </c>
      <c r="C13" t="inlineStr" s="4">
        <is>
          <t>TC-AUTH-012</t>
        </is>
      </c>
      <c r="D13" s="4"/>
      <c r="E13" s="4"/>
      <c r="F13" t="inlineStr" s="4">
        <is>
          <t>QA/Staging</t>
        </is>
      </c>
      <c r="G13" s="4"/>
      <c r="H13" t="inlineStr" s="4">
        <is>
          <t>Not Run</t>
        </is>
      </c>
      <c r="I13" s="4"/>
      <c r="J13" s="4"/>
    </row>
    <row r="14" ht="22" customHeight="1">
      <c r="A14" t="inlineStr" s="4">
        <is>
          <t>EXE-013</t>
        </is>
      </c>
      <c r="B14" t="inlineStr" s="4">
        <is>
          <t>Cycle 1</t>
        </is>
      </c>
      <c r="C14" t="inlineStr" s="4">
        <is>
          <t>TC-AUTH-013</t>
        </is>
      </c>
      <c r="D14" s="4"/>
      <c r="E14" s="4"/>
      <c r="F14" t="inlineStr" s="4">
        <is>
          <t>QA/Staging</t>
        </is>
      </c>
      <c r="G14" s="4"/>
      <c r="H14" t="inlineStr" s="4">
        <is>
          <t>Not Run</t>
        </is>
      </c>
      <c r="I14" s="4"/>
      <c r="J14" s="4"/>
    </row>
    <row r="15" ht="22" customHeight="1">
      <c r="A15" t="inlineStr" s="4">
        <is>
          <t>EXE-014</t>
        </is>
      </c>
      <c r="B15" t="inlineStr" s="4">
        <is>
          <t>Cycle 1</t>
        </is>
      </c>
      <c r="C15" t="inlineStr" s="4">
        <is>
          <t>TC-AUTH-014</t>
        </is>
      </c>
      <c r="D15" s="4"/>
      <c r="E15" s="4"/>
      <c r="F15" t="inlineStr" s="4">
        <is>
          <t>QA/Staging</t>
        </is>
      </c>
      <c r="G15" s="4"/>
      <c r="H15" t="inlineStr" s="4">
        <is>
          <t>Not Run</t>
        </is>
      </c>
      <c r="I15" s="4"/>
      <c r="J15" s="4"/>
    </row>
    <row r="16" ht="22" customHeight="1">
      <c r="A16" t="inlineStr" s="4">
        <is>
          <t>EXE-015</t>
        </is>
      </c>
      <c r="B16" t="inlineStr" s="4">
        <is>
          <t>Cycle 1</t>
        </is>
      </c>
      <c r="C16" t="inlineStr" s="4">
        <is>
          <t>TC-AUTH-015</t>
        </is>
      </c>
      <c r="D16" s="4"/>
      <c r="E16" s="4"/>
      <c r="F16" t="inlineStr" s="4">
        <is>
          <t>QA/Staging</t>
        </is>
      </c>
      <c r="G16" s="4"/>
      <c r="H16" t="inlineStr" s="4">
        <is>
          <t>Not Run</t>
        </is>
      </c>
      <c r="I16" s="4"/>
      <c r="J16" s="4"/>
    </row>
    <row r="17" ht="22" customHeight="1">
      <c r="A17" t="inlineStr" s="4">
        <is>
          <t>EXE-016</t>
        </is>
      </c>
      <c r="B17" t="inlineStr" s="4">
        <is>
          <t>Cycle 1</t>
        </is>
      </c>
      <c r="C17" t="inlineStr" s="4">
        <is>
          <t>TC-HOME-001</t>
        </is>
      </c>
      <c r="D17" s="4"/>
      <c r="E17" s="4"/>
      <c r="F17" t="inlineStr" s="4">
        <is>
          <t>QA/Staging</t>
        </is>
      </c>
      <c r="G17" s="4"/>
      <c r="H17" t="inlineStr" s="4">
        <is>
          <t>Not Run</t>
        </is>
      </c>
      <c r="I17" s="4"/>
      <c r="J17" s="4"/>
    </row>
    <row r="18" ht="22" customHeight="1">
      <c r="A18" t="inlineStr" s="4">
        <is>
          <t>EXE-017</t>
        </is>
      </c>
      <c r="B18" t="inlineStr" s="4">
        <is>
          <t>Cycle 1</t>
        </is>
      </c>
      <c r="C18" t="inlineStr" s="4">
        <is>
          <t>TC-HOME-002</t>
        </is>
      </c>
      <c r="D18" s="4"/>
      <c r="E18" s="4"/>
      <c r="F18" t="inlineStr" s="4">
        <is>
          <t>QA/Staging</t>
        </is>
      </c>
      <c r="G18" s="4"/>
      <c r="H18" t="inlineStr" s="4">
        <is>
          <t>Not Run</t>
        </is>
      </c>
      <c r="I18" s="4"/>
      <c r="J18" s="4"/>
    </row>
    <row r="19" ht="22" customHeight="1">
      <c r="A19" t="inlineStr" s="4">
        <is>
          <t>EXE-018</t>
        </is>
      </c>
      <c r="B19" t="inlineStr" s="4">
        <is>
          <t>Cycle 1</t>
        </is>
      </c>
      <c r="C19" t="inlineStr" s="4">
        <is>
          <t>TC-HOME-003</t>
        </is>
      </c>
      <c r="D19" s="4"/>
      <c r="E19" s="4"/>
      <c r="F19" t="inlineStr" s="4">
        <is>
          <t>QA/Staging</t>
        </is>
      </c>
      <c r="G19" s="4"/>
      <c r="H19" t="inlineStr" s="4">
        <is>
          <t>Not Run</t>
        </is>
      </c>
      <c r="I19" s="4"/>
      <c r="J19" s="4"/>
    </row>
    <row r="20" ht="22" customHeight="1">
      <c r="A20" t="inlineStr" s="4">
        <is>
          <t>EXE-019</t>
        </is>
      </c>
      <c r="B20" t="inlineStr" s="4">
        <is>
          <t>Cycle 1</t>
        </is>
      </c>
      <c r="C20" t="inlineStr" s="4">
        <is>
          <t>TC-HOME-004</t>
        </is>
      </c>
      <c r="D20" s="4"/>
      <c r="E20" s="4"/>
      <c r="F20" t="inlineStr" s="4">
        <is>
          <t>QA/Staging</t>
        </is>
      </c>
      <c r="G20" s="4"/>
      <c r="H20" t="inlineStr" s="4">
        <is>
          <t>Not Run</t>
        </is>
      </c>
      <c r="I20" s="4"/>
      <c r="J20" s="4"/>
    </row>
    <row r="21" ht="22" customHeight="1">
      <c r="A21" t="inlineStr" s="4">
        <is>
          <t>EXE-020</t>
        </is>
      </c>
      <c r="B21" t="inlineStr" s="4">
        <is>
          <t>Cycle 1</t>
        </is>
      </c>
      <c r="C21" t="inlineStr" s="4">
        <is>
          <t>TC-HOME-005</t>
        </is>
      </c>
      <c r="D21" s="4"/>
      <c r="E21" s="4"/>
      <c r="F21" t="inlineStr" s="4">
        <is>
          <t>QA/Staging</t>
        </is>
      </c>
      <c r="G21" s="4"/>
      <c r="H21" t="inlineStr" s="4">
        <is>
          <t>Not Run</t>
        </is>
      </c>
      <c r="I21" s="4"/>
      <c r="J21" s="4"/>
    </row>
    <row r="22" ht="22" customHeight="1">
      <c r="A22" t="inlineStr" s="4">
        <is>
          <t>EXE-021</t>
        </is>
      </c>
      <c r="B22" t="inlineStr" s="4">
        <is>
          <t>Cycle 1</t>
        </is>
      </c>
      <c r="C22" t="inlineStr" s="4">
        <is>
          <t>TC-HOME-006</t>
        </is>
      </c>
      <c r="D22" s="4"/>
      <c r="E22" s="4"/>
      <c r="F22" t="inlineStr" s="4">
        <is>
          <t>QA/Staging</t>
        </is>
      </c>
      <c r="G22" s="4"/>
      <c r="H22" t="inlineStr" s="4">
        <is>
          <t>Not Run</t>
        </is>
      </c>
      <c r="I22" s="4"/>
      <c r="J22" s="4"/>
    </row>
    <row r="23" ht="22" customHeight="1">
      <c r="A23" t="inlineStr" s="4">
        <is>
          <t>EXE-022</t>
        </is>
      </c>
      <c r="B23" t="inlineStr" s="4">
        <is>
          <t>Cycle 1</t>
        </is>
      </c>
      <c r="C23" t="inlineStr" s="4">
        <is>
          <t>TC-HOME-007</t>
        </is>
      </c>
      <c r="D23" s="4"/>
      <c r="E23" s="4"/>
      <c r="F23" t="inlineStr" s="4">
        <is>
          <t>QA/Staging</t>
        </is>
      </c>
      <c r="G23" s="4"/>
      <c r="H23" t="inlineStr" s="4">
        <is>
          <t>Not Run</t>
        </is>
      </c>
      <c r="I23" s="4"/>
      <c r="J23" s="4"/>
    </row>
    <row r="24" ht="22" customHeight="1">
      <c r="A24" t="inlineStr" s="4">
        <is>
          <t>EXE-023</t>
        </is>
      </c>
      <c r="B24" t="inlineStr" s="4">
        <is>
          <t>Cycle 1</t>
        </is>
      </c>
      <c r="C24" t="inlineStr" s="4">
        <is>
          <t>TC-HOME-008</t>
        </is>
      </c>
      <c r="D24" s="4"/>
      <c r="E24" s="4"/>
      <c r="F24" t="inlineStr" s="4">
        <is>
          <t>QA/Staging</t>
        </is>
      </c>
      <c r="G24" s="4"/>
      <c r="H24" t="inlineStr" s="4">
        <is>
          <t>Not Run</t>
        </is>
      </c>
      <c r="I24" s="4"/>
      <c r="J24" s="4"/>
    </row>
    <row r="25" ht="22" customHeight="1">
      <c r="A25" t="inlineStr" s="4">
        <is>
          <t>EXE-024</t>
        </is>
      </c>
      <c r="B25" t="inlineStr" s="4">
        <is>
          <t>Cycle 1</t>
        </is>
      </c>
      <c r="C25" t="inlineStr" s="4">
        <is>
          <t>TC-HOME-009</t>
        </is>
      </c>
      <c r="D25" s="4"/>
      <c r="E25" s="4"/>
      <c r="F25" t="inlineStr" s="4">
        <is>
          <t>QA/Staging</t>
        </is>
      </c>
      <c r="G25" s="4"/>
      <c r="H25" t="inlineStr" s="4">
        <is>
          <t>Not Run</t>
        </is>
      </c>
      <c r="I25" s="4"/>
      <c r="J25" s="4"/>
    </row>
    <row r="26" ht="22" customHeight="1">
      <c r="A26" t="inlineStr" s="4">
        <is>
          <t>EXE-025</t>
        </is>
      </c>
      <c r="B26" t="inlineStr" s="4">
        <is>
          <t>Cycle 1</t>
        </is>
      </c>
      <c r="C26" t="inlineStr" s="4">
        <is>
          <t>TC-HOME-010</t>
        </is>
      </c>
      <c r="D26" s="4"/>
      <c r="E26" s="4"/>
      <c r="F26" t="inlineStr" s="4">
        <is>
          <t>QA/Staging</t>
        </is>
      </c>
      <c r="G26" s="4"/>
      <c r="H26" t="inlineStr" s="4">
        <is>
          <t>Not Run</t>
        </is>
      </c>
      <c r="I26" s="4"/>
      <c r="J26" s="4"/>
    </row>
    <row r="27" ht="22" customHeight="1">
      <c r="A27" t="inlineStr" s="4">
        <is>
          <t>EXE-026</t>
        </is>
      </c>
      <c r="B27" t="inlineStr" s="4">
        <is>
          <t>Cycle 1</t>
        </is>
      </c>
      <c r="C27" t="inlineStr" s="4">
        <is>
          <t>TC-CATALOG-001</t>
        </is>
      </c>
      <c r="D27" s="4"/>
      <c r="E27" s="4"/>
      <c r="F27" t="inlineStr" s="4">
        <is>
          <t>QA/Staging</t>
        </is>
      </c>
      <c r="G27" s="4"/>
      <c r="H27" t="inlineStr" s="4">
        <is>
          <t>Not Run</t>
        </is>
      </c>
      <c r="I27" s="4"/>
      <c r="J27" s="4"/>
    </row>
    <row r="28" ht="22" customHeight="1">
      <c r="A28" t="inlineStr" s="4">
        <is>
          <t>EXE-027</t>
        </is>
      </c>
      <c r="B28" t="inlineStr" s="4">
        <is>
          <t>Cycle 1</t>
        </is>
      </c>
      <c r="C28" t="inlineStr" s="4">
        <is>
          <t>TC-CATALOG-002</t>
        </is>
      </c>
      <c r="D28" s="4"/>
      <c r="E28" s="4"/>
      <c r="F28" t="inlineStr" s="4">
        <is>
          <t>QA/Staging</t>
        </is>
      </c>
      <c r="G28" s="4"/>
      <c r="H28" t="inlineStr" s="4">
        <is>
          <t>Not Run</t>
        </is>
      </c>
      <c r="I28" s="4"/>
      <c r="J28" s="4"/>
    </row>
    <row r="29" ht="22" customHeight="1">
      <c r="A29" t="inlineStr" s="4">
        <is>
          <t>EXE-028</t>
        </is>
      </c>
      <c r="B29" t="inlineStr" s="4">
        <is>
          <t>Cycle 1</t>
        </is>
      </c>
      <c r="C29" t="inlineStr" s="4">
        <is>
          <t>TC-CATALOG-003</t>
        </is>
      </c>
      <c r="D29" s="4"/>
      <c r="E29" s="4"/>
      <c r="F29" t="inlineStr" s="4">
        <is>
          <t>QA/Staging</t>
        </is>
      </c>
      <c r="G29" s="4"/>
      <c r="H29" t="inlineStr" s="4">
        <is>
          <t>Not Run</t>
        </is>
      </c>
      <c r="I29" s="4"/>
      <c r="J29" s="4"/>
    </row>
    <row r="30" ht="22" customHeight="1">
      <c r="A30" t="inlineStr" s="4">
        <is>
          <t>EXE-029</t>
        </is>
      </c>
      <c r="B30" t="inlineStr" s="4">
        <is>
          <t>Cycle 1</t>
        </is>
      </c>
      <c r="C30" t="inlineStr" s="4">
        <is>
          <t>TC-CATALOG-004</t>
        </is>
      </c>
      <c r="D30" s="4"/>
      <c r="E30" s="4"/>
      <c r="F30" t="inlineStr" s="4">
        <is>
          <t>QA/Staging</t>
        </is>
      </c>
      <c r="G30" s="4"/>
      <c r="H30" t="inlineStr" s="4">
        <is>
          <t>Not Run</t>
        </is>
      </c>
      <c r="I30" s="4"/>
      <c r="J30" s="4"/>
    </row>
    <row r="31" ht="22" customHeight="1">
      <c r="A31" t="inlineStr" s="4">
        <is>
          <t>EXE-030</t>
        </is>
      </c>
      <c r="B31" t="inlineStr" s="4">
        <is>
          <t>Cycle 1</t>
        </is>
      </c>
      <c r="C31" t="inlineStr" s="4">
        <is>
          <t>TC-CATALOG-005</t>
        </is>
      </c>
      <c r="D31" s="4"/>
      <c r="E31" s="4"/>
      <c r="F31" t="inlineStr" s="4">
        <is>
          <t>QA/Staging</t>
        </is>
      </c>
      <c r="G31" s="4"/>
      <c r="H31" t="inlineStr" s="4">
        <is>
          <t>Not Run</t>
        </is>
      </c>
      <c r="I31" s="4"/>
      <c r="J31" s="4"/>
    </row>
    <row r="32" ht="22" customHeight="1">
      <c r="A32" t="inlineStr" s="4">
        <is>
          <t>EXE-031</t>
        </is>
      </c>
      <c r="B32" t="inlineStr" s="4">
        <is>
          <t>Cycle 1</t>
        </is>
      </c>
      <c r="C32" t="inlineStr" s="4">
        <is>
          <t>TC-CATALOG-006</t>
        </is>
      </c>
      <c r="D32" s="4"/>
      <c r="E32" s="4"/>
      <c r="F32" t="inlineStr" s="4">
        <is>
          <t>QA/Staging</t>
        </is>
      </c>
      <c r="G32" s="4"/>
      <c r="H32" t="inlineStr" s="4">
        <is>
          <t>Not Run</t>
        </is>
      </c>
      <c r="I32" s="4"/>
      <c r="J32" s="4"/>
    </row>
    <row r="33" ht="22" customHeight="1">
      <c r="A33" t="inlineStr" s="4">
        <is>
          <t>EXE-032</t>
        </is>
      </c>
      <c r="B33" t="inlineStr" s="4">
        <is>
          <t>Cycle 1</t>
        </is>
      </c>
      <c r="C33" t="inlineStr" s="4">
        <is>
          <t>TC-CATALOG-007</t>
        </is>
      </c>
      <c r="D33" s="4"/>
      <c r="E33" s="4"/>
      <c r="F33" t="inlineStr" s="4">
        <is>
          <t>QA/Staging</t>
        </is>
      </c>
      <c r="G33" s="4"/>
      <c r="H33" t="inlineStr" s="4">
        <is>
          <t>Not Run</t>
        </is>
      </c>
      <c r="I33" s="4"/>
      <c r="J33" s="4"/>
    </row>
    <row r="34" ht="22" customHeight="1">
      <c r="A34" t="inlineStr" s="4">
        <is>
          <t>EXE-033</t>
        </is>
      </c>
      <c r="B34" t="inlineStr" s="4">
        <is>
          <t>Cycle 1</t>
        </is>
      </c>
      <c r="C34" t="inlineStr" s="4">
        <is>
          <t>TC-CATALOG-008</t>
        </is>
      </c>
      <c r="D34" s="4"/>
      <c r="E34" s="4"/>
      <c r="F34" t="inlineStr" s="4">
        <is>
          <t>QA/Staging</t>
        </is>
      </c>
      <c r="G34" s="4"/>
      <c r="H34" t="inlineStr" s="4">
        <is>
          <t>Not Run</t>
        </is>
      </c>
      <c r="I34" s="4"/>
      <c r="J34" s="4"/>
    </row>
    <row r="35" ht="22" customHeight="1">
      <c r="A35" t="inlineStr" s="4">
        <is>
          <t>EXE-034</t>
        </is>
      </c>
      <c r="B35" t="inlineStr" s="4">
        <is>
          <t>Cycle 1</t>
        </is>
      </c>
      <c r="C35" t="inlineStr" s="4">
        <is>
          <t>TC-CATALOG-009</t>
        </is>
      </c>
      <c r="D35" s="4"/>
      <c r="E35" s="4"/>
      <c r="F35" t="inlineStr" s="4">
        <is>
          <t>QA/Staging</t>
        </is>
      </c>
      <c r="G35" s="4"/>
      <c r="H35" t="inlineStr" s="4">
        <is>
          <t>Not Run</t>
        </is>
      </c>
      <c r="I35" s="4"/>
      <c r="J35" s="4"/>
    </row>
    <row r="36" ht="22" customHeight="1">
      <c r="A36" t="inlineStr" s="4">
        <is>
          <t>EXE-035</t>
        </is>
      </c>
      <c r="B36" t="inlineStr" s="4">
        <is>
          <t>Cycle 1</t>
        </is>
      </c>
      <c r="C36" t="inlineStr" s="4">
        <is>
          <t>TC-CATALOG-010</t>
        </is>
      </c>
      <c r="D36" s="4"/>
      <c r="E36" s="4"/>
      <c r="F36" t="inlineStr" s="4">
        <is>
          <t>QA/Staging</t>
        </is>
      </c>
      <c r="G36" s="4"/>
      <c r="H36" t="inlineStr" s="4">
        <is>
          <t>Not Run</t>
        </is>
      </c>
      <c r="I36" s="4"/>
      <c r="J36" s="4"/>
    </row>
    <row r="37" ht="22" customHeight="1">
      <c r="A37" t="inlineStr" s="4">
        <is>
          <t>EXE-036</t>
        </is>
      </c>
      <c r="B37" t="inlineStr" s="4">
        <is>
          <t>Cycle 1</t>
        </is>
      </c>
      <c r="C37" t="inlineStr" s="4">
        <is>
          <t>TC-WISATA-DETAIL-001</t>
        </is>
      </c>
      <c r="D37" s="4"/>
      <c r="E37" s="4"/>
      <c r="F37" t="inlineStr" s="4">
        <is>
          <t>QA/Staging</t>
        </is>
      </c>
      <c r="G37" s="4"/>
      <c r="H37" t="inlineStr" s="4">
        <is>
          <t>Not Run</t>
        </is>
      </c>
      <c r="I37" s="4"/>
      <c r="J37" s="4"/>
    </row>
    <row r="38" ht="22" customHeight="1">
      <c r="A38" t="inlineStr" s="4">
        <is>
          <t>EXE-037</t>
        </is>
      </c>
      <c r="B38" t="inlineStr" s="4">
        <is>
          <t>Cycle 1</t>
        </is>
      </c>
      <c r="C38" t="inlineStr" s="4">
        <is>
          <t>TC-WISATA-DETAIL-002</t>
        </is>
      </c>
      <c r="D38" s="4"/>
      <c r="E38" s="4"/>
      <c r="F38" t="inlineStr" s="4">
        <is>
          <t>QA/Staging</t>
        </is>
      </c>
      <c r="G38" s="4"/>
      <c r="H38" t="inlineStr" s="4">
        <is>
          <t>Not Run</t>
        </is>
      </c>
      <c r="I38" s="4"/>
      <c r="J38" s="4"/>
    </row>
    <row r="39" ht="22" customHeight="1">
      <c r="A39" t="inlineStr" s="4">
        <is>
          <t>EXE-038</t>
        </is>
      </c>
      <c r="B39" t="inlineStr" s="4">
        <is>
          <t>Cycle 1</t>
        </is>
      </c>
      <c r="C39" t="inlineStr" s="4">
        <is>
          <t>TC-WISATA-DETAIL-003</t>
        </is>
      </c>
      <c r="D39" s="4"/>
      <c r="E39" s="4"/>
      <c r="F39" t="inlineStr" s="4">
        <is>
          <t>QA/Staging</t>
        </is>
      </c>
      <c r="G39" s="4"/>
      <c r="H39" t="inlineStr" s="4">
        <is>
          <t>Not Run</t>
        </is>
      </c>
      <c r="I39" s="4"/>
      <c r="J39" s="4"/>
    </row>
    <row r="40" ht="22" customHeight="1">
      <c r="A40" t="inlineStr" s="4">
        <is>
          <t>EXE-039</t>
        </is>
      </c>
      <c r="B40" t="inlineStr" s="4">
        <is>
          <t>Cycle 1</t>
        </is>
      </c>
      <c r="C40" t="inlineStr" s="4">
        <is>
          <t>TC-WISATA-DETAIL-004</t>
        </is>
      </c>
      <c r="D40" s="4"/>
      <c r="E40" s="4"/>
      <c r="F40" t="inlineStr" s="4">
        <is>
          <t>QA/Staging</t>
        </is>
      </c>
      <c r="G40" s="4"/>
      <c r="H40" t="inlineStr" s="4">
        <is>
          <t>Not Run</t>
        </is>
      </c>
      <c r="I40" s="4"/>
      <c r="J40" s="4"/>
    </row>
    <row r="41" ht="22" customHeight="1">
      <c r="A41" t="inlineStr" s="4">
        <is>
          <t>EXE-040</t>
        </is>
      </c>
      <c r="B41" t="inlineStr" s="4">
        <is>
          <t>Cycle 1</t>
        </is>
      </c>
      <c r="C41" t="inlineStr" s="4">
        <is>
          <t>TC-WISATA-DETAIL-005</t>
        </is>
      </c>
      <c r="D41" s="4"/>
      <c r="E41" s="4"/>
      <c r="F41" t="inlineStr" s="4">
        <is>
          <t>QA/Staging</t>
        </is>
      </c>
      <c r="G41" s="4"/>
      <c r="H41" t="inlineStr" s="4">
        <is>
          <t>Not Run</t>
        </is>
      </c>
      <c r="I41" s="4"/>
      <c r="J41" s="4"/>
    </row>
    <row r="42" ht="22" customHeight="1">
      <c r="A42" t="inlineStr" s="4">
        <is>
          <t>EXE-041</t>
        </is>
      </c>
      <c r="B42" t="inlineStr" s="4">
        <is>
          <t>Cycle 1</t>
        </is>
      </c>
      <c r="C42" t="inlineStr" s="4">
        <is>
          <t>TC-WISATA-DETAIL-006</t>
        </is>
      </c>
      <c r="D42" s="4"/>
      <c r="E42" s="4"/>
      <c r="F42" t="inlineStr" s="4">
        <is>
          <t>QA/Staging</t>
        </is>
      </c>
      <c r="G42" s="4"/>
      <c r="H42" t="inlineStr" s="4">
        <is>
          <t>Not Run</t>
        </is>
      </c>
      <c r="I42" s="4"/>
      <c r="J42" s="4"/>
    </row>
    <row r="43" ht="22" customHeight="1">
      <c r="A43" t="inlineStr" s="4">
        <is>
          <t>EXE-042</t>
        </is>
      </c>
      <c r="B43" t="inlineStr" s="4">
        <is>
          <t>Cycle 1</t>
        </is>
      </c>
      <c r="C43" t="inlineStr" s="4">
        <is>
          <t>TC-WISATA-DETAIL-007</t>
        </is>
      </c>
      <c r="D43" s="4"/>
      <c r="E43" s="4"/>
      <c r="F43" t="inlineStr" s="4">
        <is>
          <t>QA/Staging</t>
        </is>
      </c>
      <c r="G43" s="4"/>
      <c r="H43" t="inlineStr" s="4">
        <is>
          <t>Not Run</t>
        </is>
      </c>
      <c r="I43" s="4"/>
      <c r="J43" s="4"/>
    </row>
    <row r="44" ht="22" customHeight="1">
      <c r="A44" t="inlineStr" s="4">
        <is>
          <t>EXE-043</t>
        </is>
      </c>
      <c r="B44" t="inlineStr" s="4">
        <is>
          <t>Cycle 1</t>
        </is>
      </c>
      <c r="C44" t="inlineStr" s="4">
        <is>
          <t>TC-WISATA-DETAIL-008</t>
        </is>
      </c>
      <c r="D44" s="4"/>
      <c r="E44" s="4"/>
      <c r="F44" t="inlineStr" s="4">
        <is>
          <t>QA/Staging</t>
        </is>
      </c>
      <c r="G44" s="4"/>
      <c r="H44" t="inlineStr" s="4">
        <is>
          <t>Not Run</t>
        </is>
      </c>
      <c r="I44" s="4"/>
      <c r="J44" s="4"/>
    </row>
    <row r="45" ht="22" customHeight="1">
      <c r="A45" t="inlineStr" s="4">
        <is>
          <t>EXE-044</t>
        </is>
      </c>
      <c r="B45" t="inlineStr" s="4">
        <is>
          <t>Cycle 1</t>
        </is>
      </c>
      <c r="C45" t="inlineStr" s="4">
        <is>
          <t>TC-WISATA-DETAIL-009</t>
        </is>
      </c>
      <c r="D45" s="4"/>
      <c r="E45" s="4"/>
      <c r="F45" t="inlineStr" s="4">
        <is>
          <t>QA/Staging</t>
        </is>
      </c>
      <c r="G45" s="4"/>
      <c r="H45" t="inlineStr" s="4">
        <is>
          <t>Not Run</t>
        </is>
      </c>
      <c r="I45" s="4"/>
      <c r="J45" s="4"/>
    </row>
    <row r="46" ht="22" customHeight="1">
      <c r="A46" t="inlineStr" s="4">
        <is>
          <t>EXE-045</t>
        </is>
      </c>
      <c r="B46" t="inlineStr" s="4">
        <is>
          <t>Cycle 1</t>
        </is>
      </c>
      <c r="C46" t="inlineStr" s="4">
        <is>
          <t>TC-WISATA-DETAIL-010</t>
        </is>
      </c>
      <c r="D46" s="4"/>
      <c r="E46" s="4"/>
      <c r="F46" t="inlineStr" s="4">
        <is>
          <t>QA/Staging</t>
        </is>
      </c>
      <c r="G46" s="4"/>
      <c r="H46" t="inlineStr" s="4">
        <is>
          <t>Not Run</t>
        </is>
      </c>
      <c r="I46" s="4"/>
      <c r="J46" s="4"/>
    </row>
    <row r="47" ht="22" customHeight="1">
      <c r="A47" t="inlineStr" s="4">
        <is>
          <t>EXE-046</t>
        </is>
      </c>
      <c r="B47" t="inlineStr" s="4">
        <is>
          <t>Cycle 1</t>
        </is>
      </c>
      <c r="C47" t="inlineStr" s="4">
        <is>
          <t>TC-WISATA-BOOKING-001</t>
        </is>
      </c>
      <c r="D47" s="4"/>
      <c r="E47" s="4"/>
      <c r="F47" t="inlineStr" s="4">
        <is>
          <t>QA/Staging</t>
        </is>
      </c>
      <c r="G47" s="4"/>
      <c r="H47" t="inlineStr" s="4">
        <is>
          <t>Not Run</t>
        </is>
      </c>
      <c r="I47" s="4"/>
      <c r="J47" s="4"/>
    </row>
    <row r="48" ht="22" customHeight="1">
      <c r="A48" t="inlineStr" s="4">
        <is>
          <t>EXE-047</t>
        </is>
      </c>
      <c r="B48" t="inlineStr" s="4">
        <is>
          <t>Cycle 1</t>
        </is>
      </c>
      <c r="C48" t="inlineStr" s="4">
        <is>
          <t>TC-WISATA-BOOKING-002</t>
        </is>
      </c>
      <c r="D48" s="4"/>
      <c r="E48" s="4"/>
      <c r="F48" t="inlineStr" s="4">
        <is>
          <t>QA/Staging</t>
        </is>
      </c>
      <c r="G48" s="4"/>
      <c r="H48" t="inlineStr" s="4">
        <is>
          <t>Not Run</t>
        </is>
      </c>
      <c r="I48" s="4"/>
      <c r="J48" s="4"/>
    </row>
    <row r="49" ht="22" customHeight="1">
      <c r="A49" t="inlineStr" s="4">
        <is>
          <t>EXE-048</t>
        </is>
      </c>
      <c r="B49" t="inlineStr" s="4">
        <is>
          <t>Cycle 1</t>
        </is>
      </c>
      <c r="C49" t="inlineStr" s="4">
        <is>
          <t>TC-WISATA-BOOKING-003</t>
        </is>
      </c>
      <c r="D49" s="4"/>
      <c r="E49" s="4"/>
      <c r="F49" t="inlineStr" s="4">
        <is>
          <t>QA/Staging</t>
        </is>
      </c>
      <c r="G49" s="4"/>
      <c r="H49" t="inlineStr" s="4">
        <is>
          <t>Not Run</t>
        </is>
      </c>
      <c r="I49" s="4"/>
      <c r="J49" s="4"/>
    </row>
    <row r="50" ht="22" customHeight="1">
      <c r="A50" t="inlineStr" s="4">
        <is>
          <t>EXE-049</t>
        </is>
      </c>
      <c r="B50" t="inlineStr" s="4">
        <is>
          <t>Cycle 1</t>
        </is>
      </c>
      <c r="C50" t="inlineStr" s="4">
        <is>
          <t>TC-WISATA-BOOKING-004</t>
        </is>
      </c>
      <c r="D50" s="4"/>
      <c r="E50" s="4"/>
      <c r="F50" t="inlineStr" s="4">
        <is>
          <t>QA/Staging</t>
        </is>
      </c>
      <c r="G50" s="4"/>
      <c r="H50" t="inlineStr" s="4">
        <is>
          <t>Not Run</t>
        </is>
      </c>
      <c r="I50" s="4"/>
      <c r="J50" s="4"/>
    </row>
    <row r="51" ht="22" customHeight="1">
      <c r="A51" t="inlineStr" s="4">
        <is>
          <t>EXE-050</t>
        </is>
      </c>
      <c r="B51" t="inlineStr" s="4">
        <is>
          <t>Cycle 1</t>
        </is>
      </c>
      <c r="C51" t="inlineStr" s="4">
        <is>
          <t>TC-WISATA-BOOKING-005</t>
        </is>
      </c>
      <c r="D51" s="4"/>
      <c r="E51" s="4"/>
      <c r="F51" t="inlineStr" s="4">
        <is>
          <t>QA/Staging</t>
        </is>
      </c>
      <c r="G51" s="4"/>
      <c r="H51" t="inlineStr" s="4">
        <is>
          <t>Not Run</t>
        </is>
      </c>
      <c r="I51" s="4"/>
      <c r="J51" s="4"/>
    </row>
    <row r="52" ht="22" customHeight="1">
      <c r="A52" t="inlineStr" s="4">
        <is>
          <t>EXE-051</t>
        </is>
      </c>
      <c r="B52" t="inlineStr" s="4">
        <is>
          <t>Cycle 1</t>
        </is>
      </c>
      <c r="C52" t="inlineStr" s="4">
        <is>
          <t>TC-WISATA-BOOKING-006</t>
        </is>
      </c>
      <c r="D52" s="4"/>
      <c r="E52" s="4"/>
      <c r="F52" t="inlineStr" s="4">
        <is>
          <t>QA/Staging</t>
        </is>
      </c>
      <c r="G52" s="4"/>
      <c r="H52" t="inlineStr" s="4">
        <is>
          <t>Not Run</t>
        </is>
      </c>
      <c r="I52" s="4"/>
      <c r="J52" s="4"/>
    </row>
    <row r="53" ht="22" customHeight="1">
      <c r="A53" t="inlineStr" s="4">
        <is>
          <t>EXE-052</t>
        </is>
      </c>
      <c r="B53" t="inlineStr" s="4">
        <is>
          <t>Cycle 1</t>
        </is>
      </c>
      <c r="C53" t="inlineStr" s="4">
        <is>
          <t>TC-WISATA-BOOKING-007</t>
        </is>
      </c>
      <c r="D53" s="4"/>
      <c r="E53" s="4"/>
      <c r="F53" t="inlineStr" s="4">
        <is>
          <t>QA/Staging</t>
        </is>
      </c>
      <c r="G53" s="4"/>
      <c r="H53" t="inlineStr" s="4">
        <is>
          <t>Not Run</t>
        </is>
      </c>
      <c r="I53" s="4"/>
      <c r="J53" s="4"/>
    </row>
    <row r="54" ht="22" customHeight="1">
      <c r="A54" t="inlineStr" s="4">
        <is>
          <t>EXE-053</t>
        </is>
      </c>
      <c r="B54" t="inlineStr" s="4">
        <is>
          <t>Cycle 1</t>
        </is>
      </c>
      <c r="C54" t="inlineStr" s="4">
        <is>
          <t>TC-WISATA-BOOKING-008</t>
        </is>
      </c>
      <c r="D54" s="4"/>
      <c r="E54" s="4"/>
      <c r="F54" t="inlineStr" s="4">
        <is>
          <t>QA/Staging</t>
        </is>
      </c>
      <c r="G54" s="4"/>
      <c r="H54" t="inlineStr" s="4">
        <is>
          <t>Not Run</t>
        </is>
      </c>
      <c r="I54" s="4"/>
      <c r="J54" s="4"/>
    </row>
    <row r="55" ht="22" customHeight="1">
      <c r="A55" t="inlineStr" s="4">
        <is>
          <t>EXE-054</t>
        </is>
      </c>
      <c r="B55" t="inlineStr" s="4">
        <is>
          <t>Cycle 1</t>
        </is>
      </c>
      <c r="C55" t="inlineStr" s="4">
        <is>
          <t>TC-WISATA-BOOKING-009</t>
        </is>
      </c>
      <c r="D55" s="4"/>
      <c r="E55" s="4"/>
      <c r="F55" t="inlineStr" s="4">
        <is>
          <t>QA/Staging</t>
        </is>
      </c>
      <c r="G55" s="4"/>
      <c r="H55" t="inlineStr" s="4">
        <is>
          <t>Not Run</t>
        </is>
      </c>
      <c r="I55" s="4"/>
      <c r="J55" s="4"/>
    </row>
    <row r="56" ht="22" customHeight="1">
      <c r="A56" t="inlineStr" s="4">
        <is>
          <t>EXE-055</t>
        </is>
      </c>
      <c r="B56" t="inlineStr" s="4">
        <is>
          <t>Cycle 1</t>
        </is>
      </c>
      <c r="C56" t="inlineStr" s="4">
        <is>
          <t>TC-WISATA-BOOKING-010</t>
        </is>
      </c>
      <c r="D56" s="4"/>
      <c r="E56" s="4"/>
      <c r="F56" t="inlineStr" s="4">
        <is>
          <t>QA/Staging</t>
        </is>
      </c>
      <c r="G56" s="4"/>
      <c r="H56" t="inlineStr" s="4">
        <is>
          <t>Not Run</t>
        </is>
      </c>
      <c r="I56" s="4"/>
      <c r="J56" s="4"/>
    </row>
    <row r="57" ht="22" customHeight="1">
      <c r="A57" t="inlineStr" s="4">
        <is>
          <t>EXE-056</t>
        </is>
      </c>
      <c r="B57" t="inlineStr" s="4">
        <is>
          <t>Cycle 1</t>
        </is>
      </c>
      <c r="C57" t="inlineStr" s="4">
        <is>
          <t>TC-WISATA-BOOKING-011</t>
        </is>
      </c>
      <c r="D57" s="4"/>
      <c r="E57" s="4"/>
      <c r="F57" t="inlineStr" s="4">
        <is>
          <t>QA/Staging</t>
        </is>
      </c>
      <c r="G57" s="4"/>
      <c r="H57" t="inlineStr" s="4">
        <is>
          <t>Not Run</t>
        </is>
      </c>
      <c r="I57" s="4"/>
      <c r="J57" s="4"/>
    </row>
    <row r="58" ht="22" customHeight="1">
      <c r="A58" t="inlineStr" s="4">
        <is>
          <t>EXE-057</t>
        </is>
      </c>
      <c r="B58" t="inlineStr" s="4">
        <is>
          <t>Cycle 1</t>
        </is>
      </c>
      <c r="C58" t="inlineStr" s="4">
        <is>
          <t>TC-WISATA-BOOKING-012</t>
        </is>
      </c>
      <c r="D58" s="4"/>
      <c r="E58" s="4"/>
      <c r="F58" t="inlineStr" s="4">
        <is>
          <t>QA/Staging</t>
        </is>
      </c>
      <c r="G58" s="4"/>
      <c r="H58" t="inlineStr" s="4">
        <is>
          <t>Not Run</t>
        </is>
      </c>
      <c r="I58" s="4"/>
      <c r="J58" s="4"/>
    </row>
    <row r="59" ht="22" customHeight="1">
      <c r="A59" t="inlineStr" s="4">
        <is>
          <t>EXE-058</t>
        </is>
      </c>
      <c r="B59" t="inlineStr" s="4">
        <is>
          <t>Cycle 1</t>
        </is>
      </c>
      <c r="C59" t="inlineStr" s="4">
        <is>
          <t>TC-WISATA-BOOKING-013</t>
        </is>
      </c>
      <c r="D59" s="4"/>
      <c r="E59" s="4"/>
      <c r="F59" t="inlineStr" s="4">
        <is>
          <t>QA/Staging</t>
        </is>
      </c>
      <c r="G59" s="4"/>
      <c r="H59" t="inlineStr" s="4">
        <is>
          <t>Not Run</t>
        </is>
      </c>
      <c r="I59" s="4"/>
      <c r="J59" s="4"/>
    </row>
    <row r="60" ht="22" customHeight="1">
      <c r="A60" t="inlineStr" s="4">
        <is>
          <t>EXE-059</t>
        </is>
      </c>
      <c r="B60" t="inlineStr" s="4">
        <is>
          <t>Cycle 1</t>
        </is>
      </c>
      <c r="C60" t="inlineStr" s="4">
        <is>
          <t>TC-WISATA-BOOKING-014</t>
        </is>
      </c>
      <c r="D60" s="4"/>
      <c r="E60" s="4"/>
      <c r="F60" t="inlineStr" s="4">
        <is>
          <t>QA/Staging</t>
        </is>
      </c>
      <c r="G60" s="4"/>
      <c r="H60" t="inlineStr" s="4">
        <is>
          <t>Not Run</t>
        </is>
      </c>
      <c r="I60" s="4"/>
      <c r="J60" s="4"/>
    </row>
    <row r="61" ht="22" customHeight="1">
      <c r="A61" t="inlineStr" s="4">
        <is>
          <t>EXE-060</t>
        </is>
      </c>
      <c r="B61" t="inlineStr" s="4">
        <is>
          <t>Cycle 1</t>
        </is>
      </c>
      <c r="C61" t="inlineStr" s="4">
        <is>
          <t>TC-WISATA-BOOKING-015</t>
        </is>
      </c>
      <c r="D61" s="4"/>
      <c r="E61" s="4"/>
      <c r="F61" t="inlineStr" s="4">
        <is>
          <t>QA/Staging</t>
        </is>
      </c>
      <c r="G61" s="4"/>
      <c r="H61" t="inlineStr" s="4">
        <is>
          <t>Not Run</t>
        </is>
      </c>
      <c r="I61" s="4"/>
      <c r="J61" s="4"/>
    </row>
    <row r="62" ht="22" customHeight="1">
      <c r="A62" t="inlineStr" s="4">
        <is>
          <t>EXE-061</t>
        </is>
      </c>
      <c r="B62" t="inlineStr" s="4">
        <is>
          <t>Cycle 1</t>
        </is>
      </c>
      <c r="C62" t="inlineStr" s="4">
        <is>
          <t>TC-WISATA-BOOKING-016</t>
        </is>
      </c>
      <c r="D62" s="4"/>
      <c r="E62" s="4"/>
      <c r="F62" t="inlineStr" s="4">
        <is>
          <t>QA/Staging</t>
        </is>
      </c>
      <c r="G62" s="4"/>
      <c r="H62" t="inlineStr" s="4">
        <is>
          <t>Not Run</t>
        </is>
      </c>
      <c r="I62" s="4"/>
      <c r="J62" s="4"/>
    </row>
    <row r="63" ht="22" customHeight="1">
      <c r="A63" t="inlineStr" s="4">
        <is>
          <t>EXE-062</t>
        </is>
      </c>
      <c r="B63" t="inlineStr" s="4">
        <is>
          <t>Cycle 1</t>
        </is>
      </c>
      <c r="C63" t="inlineStr" s="4">
        <is>
          <t>TC-WISATA-BOOKING-017</t>
        </is>
      </c>
      <c r="D63" s="4"/>
      <c r="E63" s="4"/>
      <c r="F63" t="inlineStr" s="4">
        <is>
          <t>QA/Staging</t>
        </is>
      </c>
      <c r="G63" s="4"/>
      <c r="H63" t="inlineStr" s="4">
        <is>
          <t>Not Run</t>
        </is>
      </c>
      <c r="I63" s="4"/>
      <c r="J63" s="4"/>
    </row>
    <row r="64" ht="22" customHeight="1">
      <c r="A64" t="inlineStr" s="4">
        <is>
          <t>EXE-063</t>
        </is>
      </c>
      <c r="B64" t="inlineStr" s="4">
        <is>
          <t>Cycle 1</t>
        </is>
      </c>
      <c r="C64" t="inlineStr" s="4">
        <is>
          <t>TC-WISATA-BOOKING-018</t>
        </is>
      </c>
      <c r="D64" s="4"/>
      <c r="E64" s="4"/>
      <c r="F64" t="inlineStr" s="4">
        <is>
          <t>QA/Staging</t>
        </is>
      </c>
      <c r="G64" s="4"/>
      <c r="H64" t="inlineStr" s="4">
        <is>
          <t>Not Run</t>
        </is>
      </c>
      <c r="I64" s="4"/>
      <c r="J64" s="4"/>
    </row>
    <row r="65" ht="22" customHeight="1">
      <c r="A65" t="inlineStr" s="4">
        <is>
          <t>EXE-064</t>
        </is>
      </c>
      <c r="B65" t="inlineStr" s="4">
        <is>
          <t>Cycle 1</t>
        </is>
      </c>
      <c r="C65" t="inlineStr" s="4">
        <is>
          <t>TC-WISATA-SCAN-001</t>
        </is>
      </c>
      <c r="D65" s="4"/>
      <c r="E65" s="4"/>
      <c r="F65" t="inlineStr" s="4">
        <is>
          <t>QA/Staging</t>
        </is>
      </c>
      <c r="G65" s="4"/>
      <c r="H65" t="inlineStr" s="4">
        <is>
          <t>Not Run</t>
        </is>
      </c>
      <c r="I65" s="4"/>
      <c r="J65" s="4"/>
    </row>
    <row r="66" ht="22" customHeight="1">
      <c r="A66" t="inlineStr" s="4">
        <is>
          <t>EXE-065</t>
        </is>
      </c>
      <c r="B66" t="inlineStr" s="4">
        <is>
          <t>Cycle 1</t>
        </is>
      </c>
      <c r="C66" t="inlineStr" s="4">
        <is>
          <t>TC-WISATA-SCAN-002</t>
        </is>
      </c>
      <c r="D66" s="4"/>
      <c r="E66" s="4"/>
      <c r="F66" t="inlineStr" s="4">
        <is>
          <t>QA/Staging</t>
        </is>
      </c>
      <c r="G66" s="4"/>
      <c r="H66" t="inlineStr" s="4">
        <is>
          <t>Not Run</t>
        </is>
      </c>
      <c r="I66" s="4"/>
      <c r="J66" s="4"/>
    </row>
    <row r="67" ht="22" customHeight="1">
      <c r="A67" t="inlineStr" s="4">
        <is>
          <t>EXE-066</t>
        </is>
      </c>
      <c r="B67" t="inlineStr" s="4">
        <is>
          <t>Cycle 1</t>
        </is>
      </c>
      <c r="C67" t="inlineStr" s="4">
        <is>
          <t>TC-WISATA-SCAN-003</t>
        </is>
      </c>
      <c r="D67" s="4"/>
      <c r="E67" s="4"/>
      <c r="F67" t="inlineStr" s="4">
        <is>
          <t>QA/Staging</t>
        </is>
      </c>
      <c r="G67" s="4"/>
      <c r="H67" t="inlineStr" s="4">
        <is>
          <t>Not Run</t>
        </is>
      </c>
      <c r="I67" s="4"/>
      <c r="J67" s="4"/>
    </row>
    <row r="68" ht="22" customHeight="1">
      <c r="A68" t="inlineStr" s="4">
        <is>
          <t>EXE-067</t>
        </is>
      </c>
      <c r="B68" t="inlineStr" s="4">
        <is>
          <t>Cycle 1</t>
        </is>
      </c>
      <c r="C68" t="inlineStr" s="4">
        <is>
          <t>TC-WISATA-SCAN-004</t>
        </is>
      </c>
      <c r="D68" s="4"/>
      <c r="E68" s="4"/>
      <c r="F68" t="inlineStr" s="4">
        <is>
          <t>QA/Staging</t>
        </is>
      </c>
      <c r="G68" s="4"/>
      <c r="H68" t="inlineStr" s="4">
        <is>
          <t>Not Run</t>
        </is>
      </c>
      <c r="I68" s="4"/>
      <c r="J68" s="4"/>
    </row>
    <row r="69" ht="22" customHeight="1">
      <c r="A69" t="inlineStr" s="4">
        <is>
          <t>EXE-068</t>
        </is>
      </c>
      <c r="B69" t="inlineStr" s="4">
        <is>
          <t>Cycle 1</t>
        </is>
      </c>
      <c r="C69" t="inlineStr" s="4">
        <is>
          <t>TC-WISATA-SCAN-005</t>
        </is>
      </c>
      <c r="D69" s="4"/>
      <c r="E69" s="4"/>
      <c r="F69" t="inlineStr" s="4">
        <is>
          <t>QA/Staging</t>
        </is>
      </c>
      <c r="G69" s="4"/>
      <c r="H69" t="inlineStr" s="4">
        <is>
          <t>Not Run</t>
        </is>
      </c>
      <c r="I69" s="4"/>
      <c r="J69" s="4"/>
    </row>
    <row r="70" ht="22" customHeight="1">
      <c r="A70" t="inlineStr" s="4">
        <is>
          <t>EXE-069</t>
        </is>
      </c>
      <c r="B70" t="inlineStr" s="4">
        <is>
          <t>Cycle 1</t>
        </is>
      </c>
      <c r="C70" t="inlineStr" s="4">
        <is>
          <t>TC-WISATA-SCAN-006</t>
        </is>
      </c>
      <c r="D70" s="4"/>
      <c r="E70" s="4"/>
      <c r="F70" t="inlineStr" s="4">
        <is>
          <t>QA/Staging</t>
        </is>
      </c>
      <c r="G70" s="4"/>
      <c r="H70" t="inlineStr" s="4">
        <is>
          <t>Not Run</t>
        </is>
      </c>
      <c r="I70" s="4"/>
      <c r="J70" s="4"/>
    </row>
    <row r="71" ht="22" customHeight="1">
      <c r="A71" t="inlineStr" s="4">
        <is>
          <t>EXE-070</t>
        </is>
      </c>
      <c r="B71" t="inlineStr" s="4">
        <is>
          <t>Cycle 1</t>
        </is>
      </c>
      <c r="C71" t="inlineStr" s="4">
        <is>
          <t>TC-WISATA-SCAN-007</t>
        </is>
      </c>
      <c r="D71" s="4"/>
      <c r="E71" s="4"/>
      <c r="F71" t="inlineStr" s="4">
        <is>
          <t>QA/Staging</t>
        </is>
      </c>
      <c r="G71" s="4"/>
      <c r="H71" t="inlineStr" s="4">
        <is>
          <t>Not Run</t>
        </is>
      </c>
      <c r="I71" s="4"/>
      <c r="J71" s="4"/>
    </row>
    <row r="72" ht="22" customHeight="1">
      <c r="A72" t="inlineStr" s="4">
        <is>
          <t>EXE-071</t>
        </is>
      </c>
      <c r="B72" t="inlineStr" s="4">
        <is>
          <t>Cycle 1</t>
        </is>
      </c>
      <c r="C72" t="inlineStr" s="4">
        <is>
          <t>TC-WISATA-SCAN-008</t>
        </is>
      </c>
      <c r="D72" s="4"/>
      <c r="E72" s="4"/>
      <c r="F72" t="inlineStr" s="4">
        <is>
          <t>QA/Staging</t>
        </is>
      </c>
      <c r="G72" s="4"/>
      <c r="H72" t="inlineStr" s="4">
        <is>
          <t>Not Run</t>
        </is>
      </c>
      <c r="I72" s="4"/>
      <c r="J72" s="4"/>
    </row>
    <row r="73" ht="22" customHeight="1">
      <c r="A73" t="inlineStr" s="4">
        <is>
          <t>EXE-072</t>
        </is>
      </c>
      <c r="B73" t="inlineStr" s="4">
        <is>
          <t>Cycle 1</t>
        </is>
      </c>
      <c r="C73" t="inlineStr" s="4">
        <is>
          <t>TC-WISATA-SCAN-009</t>
        </is>
      </c>
      <c r="D73" s="4"/>
      <c r="E73" s="4"/>
      <c r="F73" t="inlineStr" s="4">
        <is>
          <t>QA/Staging</t>
        </is>
      </c>
      <c r="G73" s="4"/>
      <c r="H73" t="inlineStr" s="4">
        <is>
          <t>Not Run</t>
        </is>
      </c>
      <c r="I73" s="4"/>
      <c r="J73" s="4"/>
    </row>
    <row r="74" ht="22" customHeight="1">
      <c r="A74" t="inlineStr" s="4">
        <is>
          <t>EXE-073</t>
        </is>
      </c>
      <c r="B74" t="inlineStr" s="4">
        <is>
          <t>Cycle 1</t>
        </is>
      </c>
      <c r="C74" t="inlineStr" s="4">
        <is>
          <t>TC-WISATA-SCAN-010</t>
        </is>
      </c>
      <c r="D74" s="4"/>
      <c r="E74" s="4"/>
      <c r="F74" t="inlineStr" s="4">
        <is>
          <t>QA/Staging</t>
        </is>
      </c>
      <c r="G74" s="4"/>
      <c r="H74" t="inlineStr" s="4">
        <is>
          <t>Not Run</t>
        </is>
      </c>
      <c r="I74" s="4"/>
      <c r="J74" s="4"/>
    </row>
    <row r="75" ht="22" customHeight="1">
      <c r="A75" t="inlineStr" s="4">
        <is>
          <t>EXE-074</t>
        </is>
      </c>
      <c r="B75" t="inlineStr" s="4">
        <is>
          <t>Cycle 1</t>
        </is>
      </c>
      <c r="C75" t="inlineStr" s="4">
        <is>
          <t>TC-USER-001</t>
        </is>
      </c>
      <c r="D75" s="4"/>
      <c r="E75" s="4"/>
      <c r="F75" t="inlineStr" s="4">
        <is>
          <t>QA/Staging</t>
        </is>
      </c>
      <c r="G75" s="4"/>
      <c r="H75" t="inlineStr" s="4">
        <is>
          <t>Not Run</t>
        </is>
      </c>
      <c r="I75" s="4"/>
      <c r="J75" s="4"/>
    </row>
    <row r="76" ht="22" customHeight="1">
      <c r="A76" t="inlineStr" s="4">
        <is>
          <t>EXE-075</t>
        </is>
      </c>
      <c r="B76" t="inlineStr" s="4">
        <is>
          <t>Cycle 1</t>
        </is>
      </c>
      <c r="C76" t="inlineStr" s="4">
        <is>
          <t>TC-USER-002</t>
        </is>
      </c>
      <c r="D76" s="4"/>
      <c r="E76" s="4"/>
      <c r="F76" t="inlineStr" s="4">
        <is>
          <t>QA/Staging</t>
        </is>
      </c>
      <c r="G76" s="4"/>
      <c r="H76" t="inlineStr" s="4">
        <is>
          <t>Not Run</t>
        </is>
      </c>
      <c r="I76" s="4"/>
      <c r="J76" s="4"/>
    </row>
    <row r="77" ht="22" customHeight="1">
      <c r="A77" t="inlineStr" s="4">
        <is>
          <t>EXE-076</t>
        </is>
      </c>
      <c r="B77" t="inlineStr" s="4">
        <is>
          <t>Cycle 1</t>
        </is>
      </c>
      <c r="C77" t="inlineStr" s="4">
        <is>
          <t>TC-USER-003</t>
        </is>
      </c>
      <c r="D77" s="4"/>
      <c r="E77" s="4"/>
      <c r="F77" t="inlineStr" s="4">
        <is>
          <t>QA/Staging</t>
        </is>
      </c>
      <c r="G77" s="4"/>
      <c r="H77" t="inlineStr" s="4">
        <is>
          <t>Not Run</t>
        </is>
      </c>
      <c r="I77" s="4"/>
      <c r="J77" s="4"/>
    </row>
    <row r="78" ht="22" customHeight="1">
      <c r="A78" t="inlineStr" s="4">
        <is>
          <t>EXE-077</t>
        </is>
      </c>
      <c r="B78" t="inlineStr" s="4">
        <is>
          <t>Cycle 1</t>
        </is>
      </c>
      <c r="C78" t="inlineStr" s="4">
        <is>
          <t>TC-USER-004</t>
        </is>
      </c>
      <c r="D78" s="4"/>
      <c r="E78" s="4"/>
      <c r="F78" t="inlineStr" s="4">
        <is>
          <t>QA/Staging</t>
        </is>
      </c>
      <c r="G78" s="4"/>
      <c r="H78" t="inlineStr" s="4">
        <is>
          <t>Not Run</t>
        </is>
      </c>
      <c r="I78" s="4"/>
      <c r="J78" s="4"/>
    </row>
    <row r="79" ht="22" customHeight="1">
      <c r="A79" t="inlineStr" s="4">
        <is>
          <t>EXE-078</t>
        </is>
      </c>
      <c r="B79" t="inlineStr" s="4">
        <is>
          <t>Cycle 1</t>
        </is>
      </c>
      <c r="C79" t="inlineStr" s="4">
        <is>
          <t>TC-USER-005</t>
        </is>
      </c>
      <c r="D79" s="4"/>
      <c r="E79" s="4"/>
      <c r="F79" t="inlineStr" s="4">
        <is>
          <t>QA/Staging</t>
        </is>
      </c>
      <c r="G79" s="4"/>
      <c r="H79" t="inlineStr" s="4">
        <is>
          <t>Not Run</t>
        </is>
      </c>
      <c r="I79" s="4"/>
      <c r="J79" s="4"/>
    </row>
    <row r="80" ht="22" customHeight="1">
      <c r="A80" t="inlineStr" s="4">
        <is>
          <t>EXE-079</t>
        </is>
      </c>
      <c r="B80" t="inlineStr" s="4">
        <is>
          <t>Cycle 1</t>
        </is>
      </c>
      <c r="C80" t="inlineStr" s="4">
        <is>
          <t>TC-USER-006</t>
        </is>
      </c>
      <c r="D80" s="4"/>
      <c r="E80" s="4"/>
      <c r="F80" t="inlineStr" s="4">
        <is>
          <t>QA/Staging</t>
        </is>
      </c>
      <c r="G80" s="4"/>
      <c r="H80" t="inlineStr" s="4">
        <is>
          <t>Not Run</t>
        </is>
      </c>
      <c r="I80" s="4"/>
      <c r="J80" s="4"/>
    </row>
    <row r="81" ht="22" customHeight="1">
      <c r="A81" t="inlineStr" s="4">
        <is>
          <t>EXE-080</t>
        </is>
      </c>
      <c r="B81" t="inlineStr" s="4">
        <is>
          <t>Cycle 1</t>
        </is>
      </c>
      <c r="C81" t="inlineStr" s="4">
        <is>
          <t>TC-USER-007</t>
        </is>
      </c>
      <c r="D81" s="4"/>
      <c r="E81" s="4"/>
      <c r="F81" t="inlineStr" s="4">
        <is>
          <t>QA/Staging</t>
        </is>
      </c>
      <c r="G81" s="4"/>
      <c r="H81" t="inlineStr" s="4">
        <is>
          <t>Not Run</t>
        </is>
      </c>
      <c r="I81" s="4"/>
      <c r="J81" s="4"/>
    </row>
    <row r="82" ht="22" customHeight="1">
      <c r="A82" t="inlineStr" s="4">
        <is>
          <t>EXE-081</t>
        </is>
      </c>
      <c r="B82" t="inlineStr" s="4">
        <is>
          <t>Cycle 1</t>
        </is>
      </c>
      <c r="C82" t="inlineStr" s="4">
        <is>
          <t>TC-USER-008</t>
        </is>
      </c>
      <c r="D82" s="4"/>
      <c r="E82" s="4"/>
      <c r="F82" t="inlineStr" s="4">
        <is>
          <t>QA/Staging</t>
        </is>
      </c>
      <c r="G82" s="4"/>
      <c r="H82" t="inlineStr" s="4">
        <is>
          <t>Not Run</t>
        </is>
      </c>
      <c r="I82" s="4"/>
      <c r="J82" s="4"/>
    </row>
    <row r="83" ht="22" customHeight="1">
      <c r="A83" t="inlineStr" s="4">
        <is>
          <t>EXE-082</t>
        </is>
      </c>
      <c r="B83" t="inlineStr" s="4">
        <is>
          <t>Cycle 1</t>
        </is>
      </c>
      <c r="C83" t="inlineStr" s="4">
        <is>
          <t>TC-USER-009</t>
        </is>
      </c>
      <c r="D83" s="4"/>
      <c r="E83" s="4"/>
      <c r="F83" t="inlineStr" s="4">
        <is>
          <t>QA/Staging</t>
        </is>
      </c>
      <c r="G83" s="4"/>
      <c r="H83" t="inlineStr" s="4">
        <is>
          <t>Not Run</t>
        </is>
      </c>
      <c r="I83" s="4"/>
      <c r="J83" s="4"/>
    </row>
    <row r="84" ht="22" customHeight="1">
      <c r="A84" t="inlineStr" s="4">
        <is>
          <t>EXE-083</t>
        </is>
      </c>
      <c r="B84" t="inlineStr" s="4">
        <is>
          <t>Cycle 1</t>
        </is>
      </c>
      <c r="C84" t="inlineStr" s="4">
        <is>
          <t>TC-USER-010</t>
        </is>
      </c>
      <c r="D84" s="4"/>
      <c r="E84" s="4"/>
      <c r="F84" t="inlineStr" s="4">
        <is>
          <t>QA/Staging</t>
        </is>
      </c>
      <c r="G84" s="4"/>
      <c r="H84" t="inlineStr" s="4">
        <is>
          <t>Not Run</t>
        </is>
      </c>
      <c r="I84" s="4"/>
      <c r="J84" s="4"/>
    </row>
    <row r="85" ht="22" customHeight="1">
      <c r="A85" t="inlineStr" s="4">
        <is>
          <t>EXE-084</t>
        </is>
      </c>
      <c r="B85" t="inlineStr" s="4">
        <is>
          <t>Cycle 1</t>
        </is>
      </c>
      <c r="C85" t="inlineStr" s="4">
        <is>
          <t>TC-ADMIN-CONTENT-001</t>
        </is>
      </c>
      <c r="D85" s="4"/>
      <c r="E85" s="4"/>
      <c r="F85" t="inlineStr" s="4">
        <is>
          <t>QA/Staging</t>
        </is>
      </c>
      <c r="G85" s="4"/>
      <c r="H85" t="inlineStr" s="4">
        <is>
          <t>Not Run</t>
        </is>
      </c>
      <c r="I85" s="4"/>
      <c r="J85" s="4"/>
    </row>
    <row r="86" ht="22" customHeight="1">
      <c r="A86" t="inlineStr" s="4">
        <is>
          <t>EXE-085</t>
        </is>
      </c>
      <c r="B86" t="inlineStr" s="4">
        <is>
          <t>Cycle 1</t>
        </is>
      </c>
      <c r="C86" t="inlineStr" s="4">
        <is>
          <t>TC-ADMIN-CONTENT-101</t>
        </is>
      </c>
      <c r="D86" s="4"/>
      <c r="E86" s="4"/>
      <c r="F86" t="inlineStr" s="4">
        <is>
          <t>QA/Staging</t>
        </is>
      </c>
      <c r="G86" s="4"/>
      <c r="H86" t="inlineStr" s="4">
        <is>
          <t>Not Run</t>
        </is>
      </c>
      <c r="I86" s="4"/>
      <c r="J86" s="4"/>
    </row>
    <row r="87" ht="22" customHeight="1">
      <c r="A87" t="inlineStr" s="4">
        <is>
          <t>EXE-086</t>
        </is>
      </c>
      <c r="B87" t="inlineStr" s="4">
        <is>
          <t>Cycle 1</t>
        </is>
      </c>
      <c r="C87" t="inlineStr" s="4">
        <is>
          <t>TC-ADMIN-CONTENT-002</t>
        </is>
      </c>
      <c r="D87" s="4"/>
      <c r="E87" s="4"/>
      <c r="F87" t="inlineStr" s="4">
        <is>
          <t>QA/Staging</t>
        </is>
      </c>
      <c r="G87" s="4"/>
      <c r="H87" t="inlineStr" s="4">
        <is>
          <t>Not Run</t>
        </is>
      </c>
      <c r="I87" s="4"/>
      <c r="J87" s="4"/>
    </row>
    <row r="88" ht="22" customHeight="1">
      <c r="A88" t="inlineStr" s="4">
        <is>
          <t>EXE-087</t>
        </is>
      </c>
      <c r="B88" t="inlineStr" s="4">
        <is>
          <t>Cycle 1</t>
        </is>
      </c>
      <c r="C88" t="inlineStr" s="4">
        <is>
          <t>TC-ADMIN-CONTENT-102</t>
        </is>
      </c>
      <c r="D88" s="4"/>
      <c r="E88" s="4"/>
      <c r="F88" t="inlineStr" s="4">
        <is>
          <t>QA/Staging</t>
        </is>
      </c>
      <c r="G88" s="4"/>
      <c r="H88" t="inlineStr" s="4">
        <is>
          <t>Not Run</t>
        </is>
      </c>
      <c r="I88" s="4"/>
      <c r="J88" s="4"/>
    </row>
    <row r="89" ht="22" customHeight="1">
      <c r="A89" t="inlineStr" s="4">
        <is>
          <t>EXE-088</t>
        </is>
      </c>
      <c r="B89" t="inlineStr" s="4">
        <is>
          <t>Cycle 1</t>
        </is>
      </c>
      <c r="C89" t="inlineStr" s="4">
        <is>
          <t>TC-ADMIN-CONTENT-003</t>
        </is>
      </c>
      <c r="D89" s="4"/>
      <c r="E89" s="4"/>
      <c r="F89" t="inlineStr" s="4">
        <is>
          <t>QA/Staging</t>
        </is>
      </c>
      <c r="G89" s="4"/>
      <c r="H89" t="inlineStr" s="4">
        <is>
          <t>Not Run</t>
        </is>
      </c>
      <c r="I89" s="4"/>
      <c r="J89" s="4"/>
    </row>
    <row r="90" ht="22" customHeight="1">
      <c r="A90" t="inlineStr" s="4">
        <is>
          <t>EXE-089</t>
        </is>
      </c>
      <c r="B90" t="inlineStr" s="4">
        <is>
          <t>Cycle 1</t>
        </is>
      </c>
      <c r="C90" t="inlineStr" s="4">
        <is>
          <t>TC-ADMIN-CONTENT-103</t>
        </is>
      </c>
      <c r="D90" s="4"/>
      <c r="E90" s="4"/>
      <c r="F90" t="inlineStr" s="4">
        <is>
          <t>QA/Staging</t>
        </is>
      </c>
      <c r="G90" s="4"/>
      <c r="H90" t="inlineStr" s="4">
        <is>
          <t>Not Run</t>
        </is>
      </c>
      <c r="I90" s="4"/>
      <c r="J90" s="4"/>
    </row>
    <row r="91" ht="22" customHeight="1">
      <c r="A91" t="inlineStr" s="4">
        <is>
          <t>EXE-090</t>
        </is>
      </c>
      <c r="B91" t="inlineStr" s="4">
        <is>
          <t>Cycle 1</t>
        </is>
      </c>
      <c r="C91" t="inlineStr" s="4">
        <is>
          <t>TC-ADMIN-CONTENT-004</t>
        </is>
      </c>
      <c r="D91" s="4"/>
      <c r="E91" s="4"/>
      <c r="F91" t="inlineStr" s="4">
        <is>
          <t>QA/Staging</t>
        </is>
      </c>
      <c r="G91" s="4"/>
      <c r="H91" t="inlineStr" s="4">
        <is>
          <t>Not Run</t>
        </is>
      </c>
      <c r="I91" s="4"/>
      <c r="J91" s="4"/>
    </row>
    <row r="92" ht="22" customHeight="1">
      <c r="A92" t="inlineStr" s="4">
        <is>
          <t>EXE-091</t>
        </is>
      </c>
      <c r="B92" t="inlineStr" s="4">
        <is>
          <t>Cycle 1</t>
        </is>
      </c>
      <c r="C92" t="inlineStr" s="4">
        <is>
          <t>TC-ADMIN-CONTENT-104</t>
        </is>
      </c>
      <c r="D92" s="4"/>
      <c r="E92" s="4"/>
      <c r="F92" t="inlineStr" s="4">
        <is>
          <t>QA/Staging</t>
        </is>
      </c>
      <c r="G92" s="4"/>
      <c r="H92" t="inlineStr" s="4">
        <is>
          <t>Not Run</t>
        </is>
      </c>
      <c r="I92" s="4"/>
      <c r="J92" s="4"/>
    </row>
    <row r="93" ht="22" customHeight="1">
      <c r="A93" t="inlineStr" s="4">
        <is>
          <t>EXE-092</t>
        </is>
      </c>
      <c r="B93" t="inlineStr" s="4">
        <is>
          <t>Cycle 1</t>
        </is>
      </c>
      <c r="C93" t="inlineStr" s="4">
        <is>
          <t>TC-ADMIN-CONTENT-005</t>
        </is>
      </c>
      <c r="D93" s="4"/>
      <c r="E93" s="4"/>
      <c r="F93" t="inlineStr" s="4">
        <is>
          <t>QA/Staging</t>
        </is>
      </c>
      <c r="G93" s="4"/>
      <c r="H93" t="inlineStr" s="4">
        <is>
          <t>Not Run</t>
        </is>
      </c>
      <c r="I93" s="4"/>
      <c r="J93" s="4"/>
    </row>
    <row r="94" ht="22" customHeight="1">
      <c r="A94" t="inlineStr" s="4">
        <is>
          <t>EXE-093</t>
        </is>
      </c>
      <c r="B94" t="inlineStr" s="4">
        <is>
          <t>Cycle 1</t>
        </is>
      </c>
      <c r="C94" t="inlineStr" s="4">
        <is>
          <t>TC-ADMIN-CONTENT-105</t>
        </is>
      </c>
      <c r="D94" s="4"/>
      <c r="E94" s="4"/>
      <c r="F94" t="inlineStr" s="4">
        <is>
          <t>QA/Staging</t>
        </is>
      </c>
      <c r="G94" s="4"/>
      <c r="H94" t="inlineStr" s="4">
        <is>
          <t>Not Run</t>
        </is>
      </c>
      <c r="I94" s="4"/>
      <c r="J94" s="4"/>
    </row>
    <row r="95" ht="22" customHeight="1">
      <c r="A95" t="inlineStr" s="4">
        <is>
          <t>EXE-094</t>
        </is>
      </c>
      <c r="B95" t="inlineStr" s="4">
        <is>
          <t>Cycle 1</t>
        </is>
      </c>
      <c r="C95" t="inlineStr" s="4">
        <is>
          <t>TC-ADMIN-CONTENT-006</t>
        </is>
      </c>
      <c r="D95" s="4"/>
      <c r="E95" s="4"/>
      <c r="F95" t="inlineStr" s="4">
        <is>
          <t>QA/Staging</t>
        </is>
      </c>
      <c r="G95" s="4"/>
      <c r="H95" t="inlineStr" s="4">
        <is>
          <t>Not Run</t>
        </is>
      </c>
      <c r="I95" s="4"/>
      <c r="J95" s="4"/>
    </row>
    <row r="96" ht="22" customHeight="1">
      <c r="A96" t="inlineStr" s="4">
        <is>
          <t>EXE-095</t>
        </is>
      </c>
      <c r="B96" t="inlineStr" s="4">
        <is>
          <t>Cycle 1</t>
        </is>
      </c>
      <c r="C96" t="inlineStr" s="4">
        <is>
          <t>TC-ADMIN-CONTENT-106</t>
        </is>
      </c>
      <c r="D96" s="4"/>
      <c r="E96" s="4"/>
      <c r="F96" t="inlineStr" s="4">
        <is>
          <t>QA/Staging</t>
        </is>
      </c>
      <c r="G96" s="4"/>
      <c r="H96" t="inlineStr" s="4">
        <is>
          <t>Not Run</t>
        </is>
      </c>
      <c r="I96" s="4"/>
      <c r="J96" s="4"/>
    </row>
    <row r="97" ht="22" customHeight="1">
      <c r="A97" t="inlineStr" s="4">
        <is>
          <t>EXE-096</t>
        </is>
      </c>
      <c r="B97" t="inlineStr" s="4">
        <is>
          <t>Cycle 1</t>
        </is>
      </c>
      <c r="C97" t="inlineStr" s="4">
        <is>
          <t>TC-ADMIN-CONTENT-007</t>
        </is>
      </c>
      <c r="D97" s="4"/>
      <c r="E97" s="4"/>
      <c r="F97" t="inlineStr" s="4">
        <is>
          <t>QA/Staging</t>
        </is>
      </c>
      <c r="G97" s="4"/>
      <c r="H97" t="inlineStr" s="4">
        <is>
          <t>Not Run</t>
        </is>
      </c>
      <c r="I97" s="4"/>
      <c r="J97" s="4"/>
    </row>
    <row r="98" ht="22" customHeight="1">
      <c r="A98" t="inlineStr" s="4">
        <is>
          <t>EXE-097</t>
        </is>
      </c>
      <c r="B98" t="inlineStr" s="4">
        <is>
          <t>Cycle 1</t>
        </is>
      </c>
      <c r="C98" t="inlineStr" s="4">
        <is>
          <t>TC-ADMIN-CONTENT-107</t>
        </is>
      </c>
      <c r="D98" s="4"/>
      <c r="E98" s="4"/>
      <c r="F98" t="inlineStr" s="4">
        <is>
          <t>QA/Staging</t>
        </is>
      </c>
      <c r="G98" s="4"/>
      <c r="H98" t="inlineStr" s="4">
        <is>
          <t>Not Run</t>
        </is>
      </c>
      <c r="I98" s="4"/>
      <c r="J98" s="4"/>
    </row>
    <row r="99" ht="22" customHeight="1">
      <c r="A99" t="inlineStr" s="4">
        <is>
          <t>EXE-098</t>
        </is>
      </c>
      <c r="B99" t="inlineStr" s="4">
        <is>
          <t>Cycle 1</t>
        </is>
      </c>
      <c r="C99" t="inlineStr" s="4">
        <is>
          <t>TC-ADMIN-CONTENT-008</t>
        </is>
      </c>
      <c r="D99" s="4"/>
      <c r="E99" s="4"/>
      <c r="F99" t="inlineStr" s="4">
        <is>
          <t>QA/Staging</t>
        </is>
      </c>
      <c r="G99" s="4"/>
      <c r="H99" t="inlineStr" s="4">
        <is>
          <t>Not Run</t>
        </is>
      </c>
      <c r="I99" s="4"/>
      <c r="J99" s="4"/>
    </row>
    <row r="100" ht="22" customHeight="1">
      <c r="A100" t="inlineStr" s="4">
        <is>
          <t>EXE-099</t>
        </is>
      </c>
      <c r="B100" t="inlineStr" s="4">
        <is>
          <t>Cycle 1</t>
        </is>
      </c>
      <c r="C100" t="inlineStr" s="4">
        <is>
          <t>TC-ADMIN-CONTENT-108</t>
        </is>
      </c>
      <c r="D100" s="4"/>
      <c r="E100" s="4"/>
      <c r="F100" t="inlineStr" s="4">
        <is>
          <t>QA/Staging</t>
        </is>
      </c>
      <c r="G100" s="4"/>
      <c r="H100" t="inlineStr" s="4">
        <is>
          <t>Not Run</t>
        </is>
      </c>
      <c r="I100" s="4"/>
      <c r="J100" s="4"/>
    </row>
    <row r="101" ht="22" customHeight="1">
      <c r="A101" t="inlineStr" s="4">
        <is>
          <t>EXE-100</t>
        </is>
      </c>
      <c r="B101" t="inlineStr" s="4">
        <is>
          <t>Cycle 1</t>
        </is>
      </c>
      <c r="C101" t="inlineStr" s="4">
        <is>
          <t>TC-ADMIN-CONTENT-009</t>
        </is>
      </c>
      <c r="D101" s="4"/>
      <c r="E101" s="4"/>
      <c r="F101" t="inlineStr" s="4">
        <is>
          <t>QA/Staging</t>
        </is>
      </c>
      <c r="G101" s="4"/>
      <c r="H101" t="inlineStr" s="4">
        <is>
          <t>Not Run</t>
        </is>
      </c>
      <c r="I101" s="4"/>
      <c r="J101" s="4"/>
    </row>
    <row r="102" ht="22" customHeight="1">
      <c r="A102" t="inlineStr" s="4">
        <is>
          <t>EXE-101</t>
        </is>
      </c>
      <c r="B102" t="inlineStr" s="4">
        <is>
          <t>Cycle 1</t>
        </is>
      </c>
      <c r="C102" t="inlineStr" s="4">
        <is>
          <t>TC-ADMIN-CONTENT-109</t>
        </is>
      </c>
      <c r="D102" s="4"/>
      <c r="E102" s="4"/>
      <c r="F102" t="inlineStr" s="4">
        <is>
          <t>QA/Staging</t>
        </is>
      </c>
      <c r="G102" s="4"/>
      <c r="H102" t="inlineStr" s="4">
        <is>
          <t>Not Run</t>
        </is>
      </c>
      <c r="I102" s="4"/>
      <c r="J102" s="4"/>
    </row>
    <row r="103" ht="22" customHeight="1">
      <c r="A103" t="inlineStr" s="4">
        <is>
          <t>EXE-102</t>
        </is>
      </c>
      <c r="B103" t="inlineStr" s="4">
        <is>
          <t>Cycle 1</t>
        </is>
      </c>
      <c r="C103" t="inlineStr" s="4">
        <is>
          <t>TC-ADMIN-CONTENT-010</t>
        </is>
      </c>
      <c r="D103" s="4"/>
      <c r="E103" s="4"/>
      <c r="F103" t="inlineStr" s="4">
        <is>
          <t>QA/Staging</t>
        </is>
      </c>
      <c r="G103" s="4"/>
      <c r="H103" t="inlineStr" s="4">
        <is>
          <t>Not Run</t>
        </is>
      </c>
      <c r="I103" s="4"/>
      <c r="J103" s="4"/>
    </row>
    <row r="104" ht="22" customHeight="1">
      <c r="A104" t="inlineStr" s="4">
        <is>
          <t>EXE-103</t>
        </is>
      </c>
      <c r="B104" t="inlineStr" s="4">
        <is>
          <t>Cycle 1</t>
        </is>
      </c>
      <c r="C104" t="inlineStr" s="4">
        <is>
          <t>TC-ADMIN-CONTENT-110</t>
        </is>
      </c>
      <c r="D104" s="4"/>
      <c r="E104" s="4"/>
      <c r="F104" t="inlineStr" s="4">
        <is>
          <t>QA/Staging</t>
        </is>
      </c>
      <c r="G104" s="4"/>
      <c r="H104" t="inlineStr" s="4">
        <is>
          <t>Not Run</t>
        </is>
      </c>
      <c r="I104" s="4"/>
      <c r="J104" s="4"/>
    </row>
    <row r="105" ht="22" customHeight="1">
      <c r="A105" t="inlineStr" s="4">
        <is>
          <t>EXE-104</t>
        </is>
      </c>
      <c r="B105" t="inlineStr" s="4">
        <is>
          <t>Cycle 1</t>
        </is>
      </c>
      <c r="C105" t="inlineStr" s="4">
        <is>
          <t>TC-ADMIN-WISATA-001</t>
        </is>
      </c>
      <c r="D105" s="4"/>
      <c r="E105" s="4"/>
      <c r="F105" t="inlineStr" s="4">
        <is>
          <t>QA/Staging</t>
        </is>
      </c>
      <c r="G105" s="4"/>
      <c r="H105" t="inlineStr" s="4">
        <is>
          <t>Not Run</t>
        </is>
      </c>
      <c r="I105" s="4"/>
      <c r="J105" s="4"/>
    </row>
    <row r="106" ht="22" customHeight="1">
      <c r="A106" t="inlineStr" s="4">
        <is>
          <t>EXE-105</t>
        </is>
      </c>
      <c r="B106" t="inlineStr" s="4">
        <is>
          <t>Cycle 1</t>
        </is>
      </c>
      <c r="C106" t="inlineStr" s="4">
        <is>
          <t>TC-ADMIN-WISATA-002</t>
        </is>
      </c>
      <c r="D106" s="4"/>
      <c r="E106" s="4"/>
      <c r="F106" t="inlineStr" s="4">
        <is>
          <t>QA/Staging</t>
        </is>
      </c>
      <c r="G106" s="4"/>
      <c r="H106" t="inlineStr" s="4">
        <is>
          <t>Not Run</t>
        </is>
      </c>
      <c r="I106" s="4"/>
      <c r="J106" s="4"/>
    </row>
    <row r="107" ht="22" customHeight="1">
      <c r="A107" t="inlineStr" s="4">
        <is>
          <t>EXE-106</t>
        </is>
      </c>
      <c r="B107" t="inlineStr" s="4">
        <is>
          <t>Cycle 1</t>
        </is>
      </c>
      <c r="C107" t="inlineStr" s="4">
        <is>
          <t>TC-ADMIN-WISATA-003</t>
        </is>
      </c>
      <c r="D107" s="4"/>
      <c r="E107" s="4"/>
      <c r="F107" t="inlineStr" s="4">
        <is>
          <t>QA/Staging</t>
        </is>
      </c>
      <c r="G107" s="4"/>
      <c r="H107" t="inlineStr" s="4">
        <is>
          <t>Not Run</t>
        </is>
      </c>
      <c r="I107" s="4"/>
      <c r="J107" s="4"/>
    </row>
    <row r="108" ht="22" customHeight="1">
      <c r="A108" t="inlineStr" s="4">
        <is>
          <t>EXE-107</t>
        </is>
      </c>
      <c r="B108" t="inlineStr" s="4">
        <is>
          <t>Cycle 1</t>
        </is>
      </c>
      <c r="C108" t="inlineStr" s="4">
        <is>
          <t>TC-ADMIN-WISATA-004</t>
        </is>
      </c>
      <c r="D108" s="4"/>
      <c r="E108" s="4"/>
      <c r="F108" t="inlineStr" s="4">
        <is>
          <t>QA/Staging</t>
        </is>
      </c>
      <c r="G108" s="4"/>
      <c r="H108" t="inlineStr" s="4">
        <is>
          <t>Not Run</t>
        </is>
      </c>
      <c r="I108" s="4"/>
      <c r="J108" s="4"/>
    </row>
    <row r="109" ht="22" customHeight="1">
      <c r="A109" t="inlineStr" s="4">
        <is>
          <t>EXE-108</t>
        </is>
      </c>
      <c r="B109" t="inlineStr" s="4">
        <is>
          <t>Cycle 1</t>
        </is>
      </c>
      <c r="C109" t="inlineStr" s="4">
        <is>
          <t>TC-ADMIN-WISATA-005</t>
        </is>
      </c>
      <c r="D109" s="4"/>
      <c r="E109" s="4"/>
      <c r="F109" t="inlineStr" s="4">
        <is>
          <t>QA/Staging</t>
        </is>
      </c>
      <c r="G109" s="4"/>
      <c r="H109" t="inlineStr" s="4">
        <is>
          <t>Not Run</t>
        </is>
      </c>
      <c r="I109" s="4"/>
      <c r="J109" s="4"/>
    </row>
    <row r="110" ht="22" customHeight="1">
      <c r="A110" t="inlineStr" s="4">
        <is>
          <t>EXE-109</t>
        </is>
      </c>
      <c r="B110" t="inlineStr" s="4">
        <is>
          <t>Cycle 1</t>
        </is>
      </c>
      <c r="C110" t="inlineStr" s="4">
        <is>
          <t>TC-ADMIN-WISATA-006</t>
        </is>
      </c>
      <c r="D110" s="4"/>
      <c r="E110" s="4"/>
      <c r="F110" t="inlineStr" s="4">
        <is>
          <t>QA/Staging</t>
        </is>
      </c>
      <c r="G110" s="4"/>
      <c r="H110" t="inlineStr" s="4">
        <is>
          <t>Not Run</t>
        </is>
      </c>
      <c r="I110" s="4"/>
      <c r="J110" s="4"/>
    </row>
    <row r="111" ht="22" customHeight="1">
      <c r="A111" t="inlineStr" s="4">
        <is>
          <t>EXE-110</t>
        </is>
      </c>
      <c r="B111" t="inlineStr" s="4">
        <is>
          <t>Cycle 1</t>
        </is>
      </c>
      <c r="C111" t="inlineStr" s="4">
        <is>
          <t>TC-ADMIN-WISATA-007</t>
        </is>
      </c>
      <c r="D111" s="4"/>
      <c r="E111" s="4"/>
      <c r="F111" t="inlineStr" s="4">
        <is>
          <t>QA/Staging</t>
        </is>
      </c>
      <c r="G111" s="4"/>
      <c r="H111" t="inlineStr" s="4">
        <is>
          <t>Not Run</t>
        </is>
      </c>
      <c r="I111" s="4"/>
      <c r="J111" s="4"/>
    </row>
    <row r="112" ht="22" customHeight="1">
      <c r="A112" t="inlineStr" s="4">
        <is>
          <t>EXE-111</t>
        </is>
      </c>
      <c r="B112" t="inlineStr" s="4">
        <is>
          <t>Cycle 1</t>
        </is>
      </c>
      <c r="C112" t="inlineStr" s="4">
        <is>
          <t>TC-ADMIN-WISATA-008</t>
        </is>
      </c>
      <c r="D112" s="4"/>
      <c r="E112" s="4"/>
      <c r="F112" t="inlineStr" s="4">
        <is>
          <t>QA/Staging</t>
        </is>
      </c>
      <c r="G112" s="4"/>
      <c r="H112" t="inlineStr" s="4">
        <is>
          <t>Not Run</t>
        </is>
      </c>
      <c r="I112" s="4"/>
      <c r="J112" s="4"/>
    </row>
    <row r="113" ht="22" customHeight="1">
      <c r="A113" t="inlineStr" s="4">
        <is>
          <t>EXE-112</t>
        </is>
      </c>
      <c r="B113" t="inlineStr" s="4">
        <is>
          <t>Cycle 1</t>
        </is>
      </c>
      <c r="C113" t="inlineStr" s="4">
        <is>
          <t>TC-ADMIN-WISATA-009</t>
        </is>
      </c>
      <c r="D113" s="4"/>
      <c r="E113" s="4"/>
      <c r="F113" t="inlineStr" s="4">
        <is>
          <t>QA/Staging</t>
        </is>
      </c>
      <c r="G113" s="4"/>
      <c r="H113" t="inlineStr" s="4">
        <is>
          <t>Not Run</t>
        </is>
      </c>
      <c r="I113" s="4"/>
      <c r="J113" s="4"/>
    </row>
    <row r="114" ht="22" customHeight="1">
      <c r="A114" t="inlineStr" s="4">
        <is>
          <t>EXE-113</t>
        </is>
      </c>
      <c r="B114" t="inlineStr" s="4">
        <is>
          <t>Cycle 1</t>
        </is>
      </c>
      <c r="C114" t="inlineStr" s="4">
        <is>
          <t>TC-ADMIN-WISATA-010</t>
        </is>
      </c>
      <c r="D114" s="4"/>
      <c r="E114" s="4"/>
      <c r="F114" t="inlineStr" s="4">
        <is>
          <t>QA/Staging</t>
        </is>
      </c>
      <c r="G114" s="4"/>
      <c r="H114" t="inlineStr" s="4">
        <is>
          <t>Not Run</t>
        </is>
      </c>
      <c r="I114" s="4"/>
      <c r="J114" s="4"/>
    </row>
    <row r="115" ht="22" customHeight="1">
      <c r="A115" t="inlineStr" s="4">
        <is>
          <t>EXE-114</t>
        </is>
      </c>
      <c r="B115" t="inlineStr" s="4">
        <is>
          <t>Cycle 1</t>
        </is>
      </c>
      <c r="C115" t="inlineStr" s="4">
        <is>
          <t>TC-ADMIN-WISATA-011</t>
        </is>
      </c>
      <c r="D115" s="4"/>
      <c r="E115" s="4"/>
      <c r="F115" t="inlineStr" s="4">
        <is>
          <t>QA/Staging</t>
        </is>
      </c>
      <c r="G115" s="4"/>
      <c r="H115" t="inlineStr" s="4">
        <is>
          <t>Not Run</t>
        </is>
      </c>
      <c r="I115" s="4"/>
      <c r="J115" s="4"/>
    </row>
    <row r="116" ht="22" customHeight="1">
      <c r="A116" t="inlineStr" s="4">
        <is>
          <t>EXE-115</t>
        </is>
      </c>
      <c r="B116" t="inlineStr" s="4">
        <is>
          <t>Cycle 1</t>
        </is>
      </c>
      <c r="C116" t="inlineStr" s="4">
        <is>
          <t>TC-ADMIN-WISATA-012</t>
        </is>
      </c>
      <c r="D116" s="4"/>
      <c r="E116" s="4"/>
      <c r="F116" t="inlineStr" s="4">
        <is>
          <t>QA/Staging</t>
        </is>
      </c>
      <c r="G116" s="4"/>
      <c r="H116" t="inlineStr" s="4">
        <is>
          <t>Not Run</t>
        </is>
      </c>
      <c r="I116" s="4"/>
      <c r="J116" s="4"/>
    </row>
    <row r="117" ht="22" customHeight="1">
      <c r="A117" t="inlineStr" s="4">
        <is>
          <t>EXE-116</t>
        </is>
      </c>
      <c r="B117" t="inlineStr" s="4">
        <is>
          <t>Cycle 1</t>
        </is>
      </c>
      <c r="C117" t="inlineStr" s="4">
        <is>
          <t>TC-ADMIN-WISATA-013</t>
        </is>
      </c>
      <c r="D117" s="4"/>
      <c r="E117" s="4"/>
      <c r="F117" t="inlineStr" s="4">
        <is>
          <t>QA/Staging</t>
        </is>
      </c>
      <c r="G117" s="4"/>
      <c r="H117" t="inlineStr" s="4">
        <is>
          <t>Not Run</t>
        </is>
      </c>
      <c r="I117" s="4"/>
      <c r="J117" s="4"/>
    </row>
    <row r="118" ht="22" customHeight="1">
      <c r="A118" t="inlineStr" s="4">
        <is>
          <t>EXE-117</t>
        </is>
      </c>
      <c r="B118" t="inlineStr" s="4">
        <is>
          <t>Cycle 1</t>
        </is>
      </c>
      <c r="C118" t="inlineStr" s="4">
        <is>
          <t>TC-ADMIN-WISATA-014</t>
        </is>
      </c>
      <c r="D118" s="4"/>
      <c r="E118" s="4"/>
      <c r="F118" t="inlineStr" s="4">
        <is>
          <t>QA/Staging</t>
        </is>
      </c>
      <c r="G118" s="4"/>
      <c r="H118" t="inlineStr" s="4">
        <is>
          <t>Not Run</t>
        </is>
      </c>
      <c r="I118" s="4"/>
      <c r="J118" s="4"/>
    </row>
    <row r="119" ht="22" customHeight="1">
      <c r="A119" t="inlineStr" s="4">
        <is>
          <t>EXE-118</t>
        </is>
      </c>
      <c r="B119" t="inlineStr" s="4">
        <is>
          <t>Cycle 1</t>
        </is>
      </c>
      <c r="C119" t="inlineStr" s="4">
        <is>
          <t>TC-ADMIN-WISATA-015</t>
        </is>
      </c>
      <c r="D119" s="4"/>
      <c r="E119" s="4"/>
      <c r="F119" t="inlineStr" s="4">
        <is>
          <t>QA/Staging</t>
        </is>
      </c>
      <c r="G119" s="4"/>
      <c r="H119" t="inlineStr" s="4">
        <is>
          <t>Not Run</t>
        </is>
      </c>
      <c r="I119" s="4"/>
      <c r="J119" s="4"/>
    </row>
    <row r="120" ht="22" customHeight="1">
      <c r="A120" t="inlineStr" s="4">
        <is>
          <t>EXE-119</t>
        </is>
      </c>
      <c r="B120" t="inlineStr" s="4">
        <is>
          <t>Cycle 1</t>
        </is>
      </c>
      <c r="C120" t="inlineStr" s="4">
        <is>
          <t>TC-ADMIN-WISATA-016</t>
        </is>
      </c>
      <c r="D120" s="4"/>
      <c r="E120" s="4"/>
      <c r="F120" t="inlineStr" s="4">
        <is>
          <t>QA/Staging</t>
        </is>
      </c>
      <c r="G120" s="4"/>
      <c r="H120" t="inlineStr" s="4">
        <is>
          <t>Not Run</t>
        </is>
      </c>
      <c r="I120" s="4"/>
      <c r="J120" s="4"/>
    </row>
    <row r="121" ht="22" customHeight="1">
      <c r="A121" t="inlineStr" s="4">
        <is>
          <t>EXE-120</t>
        </is>
      </c>
      <c r="B121" t="inlineStr" s="4">
        <is>
          <t>Cycle 1</t>
        </is>
      </c>
      <c r="C121" t="inlineStr" s="4">
        <is>
          <t>TC-ADMIN-WISATA-017</t>
        </is>
      </c>
      <c r="D121" s="4"/>
      <c r="E121" s="4"/>
      <c r="F121" t="inlineStr" s="4">
        <is>
          <t>QA/Staging</t>
        </is>
      </c>
      <c r="G121" s="4"/>
      <c r="H121" t="inlineStr" s="4">
        <is>
          <t>Not Run</t>
        </is>
      </c>
      <c r="I121" s="4"/>
      <c r="J121" s="4"/>
    </row>
    <row r="122" ht="22" customHeight="1">
      <c r="A122" t="inlineStr" s="4">
        <is>
          <t>EXE-121</t>
        </is>
      </c>
      <c r="B122" t="inlineStr" s="4">
        <is>
          <t>Cycle 1</t>
        </is>
      </c>
      <c r="C122" t="inlineStr" s="4">
        <is>
          <t>TC-ADMIN-WISATA-018</t>
        </is>
      </c>
      <c r="D122" s="4"/>
      <c r="E122" s="4"/>
      <c r="F122" t="inlineStr" s="4">
        <is>
          <t>QA/Staging</t>
        </is>
      </c>
      <c r="G122" s="4"/>
      <c r="H122" t="inlineStr" s="4">
        <is>
          <t>Not Run</t>
        </is>
      </c>
      <c r="I122" s="4"/>
      <c r="J122" s="4"/>
    </row>
    <row r="123" ht="22" customHeight="1">
      <c r="A123" t="inlineStr" s="4">
        <is>
          <t>EXE-122</t>
        </is>
      </c>
      <c r="B123" t="inlineStr" s="4">
        <is>
          <t>Cycle 1</t>
        </is>
      </c>
      <c r="C123" t="inlineStr" s="4">
        <is>
          <t>TC-ADMIN-WISATA-019</t>
        </is>
      </c>
      <c r="D123" s="4"/>
      <c r="E123" s="4"/>
      <c r="F123" t="inlineStr" s="4">
        <is>
          <t>QA/Staging</t>
        </is>
      </c>
      <c r="G123" s="4"/>
      <c r="H123" t="inlineStr" s="4">
        <is>
          <t>Not Run</t>
        </is>
      </c>
      <c r="I123" s="4"/>
      <c r="J123" s="4"/>
    </row>
    <row r="124" ht="22" customHeight="1">
      <c r="A124" t="inlineStr" s="4">
        <is>
          <t>EXE-123</t>
        </is>
      </c>
      <c r="B124" t="inlineStr" s="4">
        <is>
          <t>Cycle 1</t>
        </is>
      </c>
      <c r="C124" t="inlineStr" s="4">
        <is>
          <t>TC-ADMIN-WISATA-020</t>
        </is>
      </c>
      <c r="D124" s="4"/>
      <c r="E124" s="4"/>
      <c r="F124" t="inlineStr" s="4">
        <is>
          <t>QA/Staging</t>
        </is>
      </c>
      <c r="G124" s="4"/>
      <c r="H124" t="inlineStr" s="4">
        <is>
          <t>Not Run</t>
        </is>
      </c>
      <c r="I124" s="4"/>
      <c r="J124" s="4"/>
    </row>
    <row r="125" ht="22" customHeight="1">
      <c r="A125" t="inlineStr" s="4">
        <is>
          <t>EXE-124</t>
        </is>
      </c>
      <c r="B125" t="inlineStr" s="4">
        <is>
          <t>Cycle 1</t>
        </is>
      </c>
      <c r="C125" t="inlineStr" s="4">
        <is>
          <t>TC-ADMIN-WISATA-021</t>
        </is>
      </c>
      <c r="D125" s="4"/>
      <c r="E125" s="4"/>
      <c r="F125" t="inlineStr" s="4">
        <is>
          <t>QA/Staging</t>
        </is>
      </c>
      <c r="G125" s="4"/>
      <c r="H125" t="inlineStr" s="4">
        <is>
          <t>Not Run</t>
        </is>
      </c>
      <c r="I125" s="4"/>
      <c r="J125" s="4"/>
    </row>
    <row r="126" ht="22" customHeight="1">
      <c r="A126" t="inlineStr" s="4">
        <is>
          <t>EXE-125</t>
        </is>
      </c>
      <c r="B126" t="inlineStr" s="4">
        <is>
          <t>Cycle 1</t>
        </is>
      </c>
      <c r="C126" t="inlineStr" s="4">
        <is>
          <t>TC-ADMIN-WISATA-022</t>
        </is>
      </c>
      <c r="D126" s="4"/>
      <c r="E126" s="4"/>
      <c r="F126" t="inlineStr" s="4">
        <is>
          <t>QA/Staging</t>
        </is>
      </c>
      <c r="G126" s="4"/>
      <c r="H126" t="inlineStr" s="4">
        <is>
          <t>Not Run</t>
        </is>
      </c>
      <c r="I126" s="4"/>
      <c r="J126" s="4"/>
    </row>
    <row r="127" ht="22" customHeight="1">
      <c r="A127" t="inlineStr" s="4">
        <is>
          <t>EXE-126</t>
        </is>
      </c>
      <c r="B127" t="inlineStr" s="4">
        <is>
          <t>Cycle 1</t>
        </is>
      </c>
      <c r="C127" t="inlineStr" s="4">
        <is>
          <t>TC-ADMIN-WISATA-023</t>
        </is>
      </c>
      <c r="D127" s="4"/>
      <c r="E127" s="4"/>
      <c r="F127" t="inlineStr" s="4">
        <is>
          <t>QA/Staging</t>
        </is>
      </c>
      <c r="G127" s="4"/>
      <c r="H127" t="inlineStr" s="4">
        <is>
          <t>Not Run</t>
        </is>
      </c>
      <c r="I127" s="4"/>
      <c r="J127" s="4"/>
    </row>
    <row r="128" ht="22" customHeight="1">
      <c r="A128" t="inlineStr" s="4">
        <is>
          <t>EXE-127</t>
        </is>
      </c>
      <c r="B128" t="inlineStr" s="4">
        <is>
          <t>Cycle 1</t>
        </is>
      </c>
      <c r="C128" t="inlineStr" s="4">
        <is>
          <t>TC-ADMIN-WISATA-024</t>
        </is>
      </c>
      <c r="D128" s="4"/>
      <c r="E128" s="4"/>
      <c r="F128" t="inlineStr" s="4">
        <is>
          <t>QA/Staging</t>
        </is>
      </c>
      <c r="G128" s="4"/>
      <c r="H128" t="inlineStr" s="4">
        <is>
          <t>Not Run</t>
        </is>
      </c>
      <c r="I128" s="4"/>
      <c r="J128" s="4"/>
    </row>
    <row r="129" ht="22" customHeight="1">
      <c r="A129" t="inlineStr" s="4">
        <is>
          <t>EXE-128</t>
        </is>
      </c>
      <c r="B129" t="inlineStr" s="4">
        <is>
          <t>Cycle 1</t>
        </is>
      </c>
      <c r="C129" t="inlineStr" s="4">
        <is>
          <t>TC-ADMIN-WISATA-025</t>
        </is>
      </c>
      <c r="D129" s="4"/>
      <c r="E129" s="4"/>
      <c r="F129" t="inlineStr" s="4">
        <is>
          <t>QA/Staging</t>
        </is>
      </c>
      <c r="G129" s="4"/>
      <c r="H129" t="inlineStr" s="4">
        <is>
          <t>Not Run</t>
        </is>
      </c>
      <c r="I129" s="4"/>
      <c r="J129" s="4"/>
    </row>
    <row r="130" ht="22" customHeight="1">
      <c r="A130" t="inlineStr" s="4">
        <is>
          <t>EXE-129</t>
        </is>
      </c>
      <c r="B130" t="inlineStr" s="4">
        <is>
          <t>Cycle 1</t>
        </is>
      </c>
      <c r="C130" t="inlineStr" s="4">
        <is>
          <t>TC-ADMIN-MITRA-001</t>
        </is>
      </c>
      <c r="D130" s="4"/>
      <c r="E130" s="4"/>
      <c r="F130" t="inlineStr" s="4">
        <is>
          <t>QA/Staging</t>
        </is>
      </c>
      <c r="G130" s="4"/>
      <c r="H130" t="inlineStr" s="4">
        <is>
          <t>Not Run</t>
        </is>
      </c>
      <c r="I130" s="4"/>
      <c r="J130" s="4"/>
    </row>
    <row r="131" ht="22" customHeight="1">
      <c r="A131" t="inlineStr" s="4">
        <is>
          <t>EXE-130</t>
        </is>
      </c>
      <c r="B131" t="inlineStr" s="4">
        <is>
          <t>Cycle 1</t>
        </is>
      </c>
      <c r="C131" t="inlineStr" s="4">
        <is>
          <t>TC-ADMIN-MITRA-002</t>
        </is>
      </c>
      <c r="D131" s="4"/>
      <c r="E131" s="4"/>
      <c r="F131" t="inlineStr" s="4">
        <is>
          <t>QA/Staging</t>
        </is>
      </c>
      <c r="G131" s="4"/>
      <c r="H131" t="inlineStr" s="4">
        <is>
          <t>Not Run</t>
        </is>
      </c>
      <c r="I131" s="4"/>
      <c r="J131" s="4"/>
    </row>
    <row r="132" ht="22" customHeight="1">
      <c r="A132" t="inlineStr" s="4">
        <is>
          <t>EXE-131</t>
        </is>
      </c>
      <c r="B132" t="inlineStr" s="4">
        <is>
          <t>Cycle 1</t>
        </is>
      </c>
      <c r="C132" t="inlineStr" s="4">
        <is>
          <t>TC-ADMIN-MITRA-003</t>
        </is>
      </c>
      <c r="D132" s="4"/>
      <c r="E132" s="4"/>
      <c r="F132" t="inlineStr" s="4">
        <is>
          <t>QA/Staging</t>
        </is>
      </c>
      <c r="G132" s="4"/>
      <c r="H132" t="inlineStr" s="4">
        <is>
          <t>Not Run</t>
        </is>
      </c>
      <c r="I132" s="4"/>
      <c r="J132" s="4"/>
    </row>
    <row r="133" ht="22" customHeight="1">
      <c r="A133" t="inlineStr" s="4">
        <is>
          <t>EXE-132</t>
        </is>
      </c>
      <c r="B133" t="inlineStr" s="4">
        <is>
          <t>Cycle 1</t>
        </is>
      </c>
      <c r="C133" t="inlineStr" s="4">
        <is>
          <t>TC-ADMIN-MITRA-004</t>
        </is>
      </c>
      <c r="D133" s="4"/>
      <c r="E133" s="4"/>
      <c r="F133" t="inlineStr" s="4">
        <is>
          <t>QA/Staging</t>
        </is>
      </c>
      <c r="G133" s="4"/>
      <c r="H133" t="inlineStr" s="4">
        <is>
          <t>Not Run</t>
        </is>
      </c>
      <c r="I133" s="4"/>
      <c r="J133" s="4"/>
    </row>
    <row r="134" ht="22" customHeight="1">
      <c r="A134" t="inlineStr" s="4">
        <is>
          <t>EXE-133</t>
        </is>
      </c>
      <c r="B134" t="inlineStr" s="4">
        <is>
          <t>Cycle 1</t>
        </is>
      </c>
      <c r="C134" t="inlineStr" s="4">
        <is>
          <t>TC-ADMIN-MITRA-005</t>
        </is>
      </c>
      <c r="D134" s="4"/>
      <c r="E134" s="4"/>
      <c r="F134" t="inlineStr" s="4">
        <is>
          <t>QA/Staging</t>
        </is>
      </c>
      <c r="G134" s="4"/>
      <c r="H134" t="inlineStr" s="4">
        <is>
          <t>Not Run</t>
        </is>
      </c>
      <c r="I134" s="4"/>
      <c r="J134" s="4"/>
    </row>
    <row r="135" ht="22" customHeight="1">
      <c r="A135" t="inlineStr" s="4">
        <is>
          <t>EXE-134</t>
        </is>
      </c>
      <c r="B135" t="inlineStr" s="4">
        <is>
          <t>Cycle 1</t>
        </is>
      </c>
      <c r="C135" t="inlineStr" s="4">
        <is>
          <t>TC-ADMIN-MITRA-006</t>
        </is>
      </c>
      <c r="D135" s="4"/>
      <c r="E135" s="4"/>
      <c r="F135" t="inlineStr" s="4">
        <is>
          <t>QA/Staging</t>
        </is>
      </c>
      <c r="G135" s="4"/>
      <c r="H135" t="inlineStr" s="4">
        <is>
          <t>Not Run</t>
        </is>
      </c>
      <c r="I135" s="4"/>
      <c r="J135" s="4"/>
    </row>
    <row r="136" ht="22" customHeight="1">
      <c r="A136" t="inlineStr" s="4">
        <is>
          <t>EXE-135</t>
        </is>
      </c>
      <c r="B136" t="inlineStr" s="4">
        <is>
          <t>Cycle 1</t>
        </is>
      </c>
      <c r="C136" t="inlineStr" s="4">
        <is>
          <t>TC-ADMIN-MITRA-007</t>
        </is>
      </c>
      <c r="D136" s="4"/>
      <c r="E136" s="4"/>
      <c r="F136" t="inlineStr" s="4">
        <is>
          <t>QA/Staging</t>
        </is>
      </c>
      <c r="G136" s="4"/>
      <c r="H136" t="inlineStr" s="4">
        <is>
          <t>Not Run</t>
        </is>
      </c>
      <c r="I136" s="4"/>
      <c r="J136" s="4"/>
    </row>
    <row r="137" ht="22" customHeight="1">
      <c r="A137" t="inlineStr" s="4">
        <is>
          <t>EXE-136</t>
        </is>
      </c>
      <c r="B137" t="inlineStr" s="4">
        <is>
          <t>Cycle 1</t>
        </is>
      </c>
      <c r="C137" t="inlineStr" s="4">
        <is>
          <t>TC-MITRA-001</t>
        </is>
      </c>
      <c r="D137" s="4"/>
      <c r="E137" s="4"/>
      <c r="F137" t="inlineStr" s="4">
        <is>
          <t>QA/Staging</t>
        </is>
      </c>
      <c r="G137" s="4"/>
      <c r="H137" t="inlineStr" s="4">
        <is>
          <t>Not Run</t>
        </is>
      </c>
      <c r="I137" s="4"/>
      <c r="J137" s="4"/>
    </row>
    <row r="138" ht="22" customHeight="1">
      <c r="A138" t="inlineStr" s="4">
        <is>
          <t>EXE-137</t>
        </is>
      </c>
      <c r="B138" t="inlineStr" s="4">
        <is>
          <t>Cycle 1</t>
        </is>
      </c>
      <c r="C138" t="inlineStr" s="4">
        <is>
          <t>TC-MITRA-002</t>
        </is>
      </c>
      <c r="D138" s="4"/>
      <c r="E138" s="4"/>
      <c r="F138" t="inlineStr" s="4">
        <is>
          <t>QA/Staging</t>
        </is>
      </c>
      <c r="G138" s="4"/>
      <c r="H138" t="inlineStr" s="4">
        <is>
          <t>Not Run</t>
        </is>
      </c>
      <c r="I138" s="4"/>
      <c r="J138" s="4"/>
    </row>
    <row r="139" ht="22" customHeight="1">
      <c r="A139" t="inlineStr" s="4">
        <is>
          <t>EXE-138</t>
        </is>
      </c>
      <c r="B139" t="inlineStr" s="4">
        <is>
          <t>Cycle 1</t>
        </is>
      </c>
      <c r="C139" t="inlineStr" s="4">
        <is>
          <t>TC-MITRA-003</t>
        </is>
      </c>
      <c r="D139" s="4"/>
      <c r="E139" s="4"/>
      <c r="F139" t="inlineStr" s="4">
        <is>
          <t>QA/Staging</t>
        </is>
      </c>
      <c r="G139" s="4"/>
      <c r="H139" t="inlineStr" s="4">
        <is>
          <t>Not Run</t>
        </is>
      </c>
      <c r="I139" s="4"/>
      <c r="J139" s="4"/>
    </row>
    <row r="140" ht="22" customHeight="1">
      <c r="A140" t="inlineStr" s="4">
        <is>
          <t>EXE-139</t>
        </is>
      </c>
      <c r="B140" t="inlineStr" s="4">
        <is>
          <t>Cycle 1</t>
        </is>
      </c>
      <c r="C140" t="inlineStr" s="4">
        <is>
          <t>TC-MITRA-004</t>
        </is>
      </c>
      <c r="D140" s="4"/>
      <c r="E140" s="4"/>
      <c r="F140" t="inlineStr" s="4">
        <is>
          <t>QA/Staging</t>
        </is>
      </c>
      <c r="G140" s="4"/>
      <c r="H140" t="inlineStr" s="4">
        <is>
          <t>Not Run</t>
        </is>
      </c>
      <c r="I140" s="4"/>
      <c r="J140" s="4"/>
    </row>
    <row r="141" ht="22" customHeight="1">
      <c r="A141" t="inlineStr" s="4">
        <is>
          <t>EXE-140</t>
        </is>
      </c>
      <c r="B141" t="inlineStr" s="4">
        <is>
          <t>Cycle 1</t>
        </is>
      </c>
      <c r="C141" t="inlineStr" s="4">
        <is>
          <t>TC-MITRA-005</t>
        </is>
      </c>
      <c r="D141" s="4"/>
      <c r="E141" s="4"/>
      <c r="F141" t="inlineStr" s="4">
        <is>
          <t>QA/Staging</t>
        </is>
      </c>
      <c r="G141" s="4"/>
      <c r="H141" t="inlineStr" s="4">
        <is>
          <t>Not Run</t>
        </is>
      </c>
      <c r="I141" s="4"/>
      <c r="J141" s="4"/>
    </row>
    <row r="142" ht="22" customHeight="1">
      <c r="A142" t="inlineStr" s="4">
        <is>
          <t>EXE-141</t>
        </is>
      </c>
      <c r="B142" t="inlineStr" s="4">
        <is>
          <t>Cycle 1</t>
        </is>
      </c>
      <c r="C142" t="inlineStr" s="4">
        <is>
          <t>TC-MITRA-006</t>
        </is>
      </c>
      <c r="D142" s="4"/>
      <c r="E142" s="4"/>
      <c r="F142" t="inlineStr" s="4">
        <is>
          <t>QA/Staging</t>
        </is>
      </c>
      <c r="G142" s="4"/>
      <c r="H142" t="inlineStr" s="4">
        <is>
          <t>Not Run</t>
        </is>
      </c>
      <c r="I142" s="4"/>
      <c r="J142" s="4"/>
    </row>
    <row r="143" ht="22" customHeight="1">
      <c r="A143" t="inlineStr" s="4">
        <is>
          <t>EXE-142</t>
        </is>
      </c>
      <c r="B143" t="inlineStr" s="4">
        <is>
          <t>Cycle 1</t>
        </is>
      </c>
      <c r="C143" t="inlineStr" s="4">
        <is>
          <t>TC-MITRA-007</t>
        </is>
      </c>
      <c r="D143" s="4"/>
      <c r="E143" s="4"/>
      <c r="F143" t="inlineStr" s="4">
        <is>
          <t>QA/Staging</t>
        </is>
      </c>
      <c r="G143" s="4"/>
      <c r="H143" t="inlineStr" s="4">
        <is>
          <t>Not Run</t>
        </is>
      </c>
      <c r="I143" s="4"/>
      <c r="J143" s="4"/>
    </row>
    <row r="144" ht="22" customHeight="1">
      <c r="A144" t="inlineStr" s="4">
        <is>
          <t>EXE-143</t>
        </is>
      </c>
      <c r="B144" t="inlineStr" s="4">
        <is>
          <t>Cycle 1</t>
        </is>
      </c>
      <c r="C144" t="inlineStr" s="4">
        <is>
          <t>TC-MITRA-008</t>
        </is>
      </c>
      <c r="D144" s="4"/>
      <c r="E144" s="4"/>
      <c r="F144" t="inlineStr" s="4">
        <is>
          <t>QA/Staging</t>
        </is>
      </c>
      <c r="G144" s="4"/>
      <c r="H144" t="inlineStr" s="4">
        <is>
          <t>Not Run</t>
        </is>
      </c>
      <c r="I144" s="4"/>
      <c r="J144" s="4"/>
    </row>
    <row r="145" ht="22" customHeight="1">
      <c r="A145" t="inlineStr" s="4">
        <is>
          <t>EXE-144</t>
        </is>
      </c>
      <c r="B145" t="inlineStr" s="4">
        <is>
          <t>Cycle 1</t>
        </is>
      </c>
      <c r="C145" t="inlineStr" s="4">
        <is>
          <t>TC-MITRA-009</t>
        </is>
      </c>
      <c r="D145" s="4"/>
      <c r="E145" s="4"/>
      <c r="F145" t="inlineStr" s="4">
        <is>
          <t>QA/Staging</t>
        </is>
      </c>
      <c r="G145" s="4"/>
      <c r="H145" t="inlineStr" s="4">
        <is>
          <t>Not Run</t>
        </is>
      </c>
      <c r="I145" s="4"/>
      <c r="J145" s="4"/>
    </row>
    <row r="146" ht="22" customHeight="1">
      <c r="A146" t="inlineStr" s="4">
        <is>
          <t>EXE-145</t>
        </is>
      </c>
      <c r="B146" t="inlineStr" s="4">
        <is>
          <t>Cycle 1</t>
        </is>
      </c>
      <c r="C146" t="inlineStr" s="4">
        <is>
          <t>TC-MITRA-010</t>
        </is>
      </c>
      <c r="D146" s="4"/>
      <c r="E146" s="4"/>
      <c r="F146" t="inlineStr" s="4">
        <is>
          <t>QA/Staging</t>
        </is>
      </c>
      <c r="G146" s="4"/>
      <c r="H146" t="inlineStr" s="4">
        <is>
          <t>Not Run</t>
        </is>
      </c>
      <c r="I146" s="4"/>
      <c r="J146" s="4"/>
    </row>
    <row r="147" ht="22" customHeight="1">
      <c r="A147" t="inlineStr" s="4">
        <is>
          <t>EXE-146</t>
        </is>
      </c>
      <c r="B147" t="inlineStr" s="4">
        <is>
          <t>Cycle 1</t>
        </is>
      </c>
      <c r="C147" t="inlineStr" s="4">
        <is>
          <t>TC-MITRA-011</t>
        </is>
      </c>
      <c r="D147" s="4"/>
      <c r="E147" s="4"/>
      <c r="F147" t="inlineStr" s="4">
        <is>
          <t>QA/Staging</t>
        </is>
      </c>
      <c r="G147" s="4"/>
      <c r="H147" t="inlineStr" s="4">
        <is>
          <t>Not Run</t>
        </is>
      </c>
      <c r="I147" s="4"/>
      <c r="J147" s="4"/>
    </row>
    <row r="148" ht="22" customHeight="1">
      <c r="A148" t="inlineStr" s="4">
        <is>
          <t>EXE-147</t>
        </is>
      </c>
      <c r="B148" t="inlineStr" s="4">
        <is>
          <t>Cycle 1</t>
        </is>
      </c>
      <c r="C148" t="inlineStr" s="4">
        <is>
          <t>TC-MITRA-012</t>
        </is>
      </c>
      <c r="D148" s="4"/>
      <c r="E148" s="4"/>
      <c r="F148" t="inlineStr" s="4">
        <is>
          <t>QA/Staging</t>
        </is>
      </c>
      <c r="G148" s="4"/>
      <c r="H148" t="inlineStr" s="4">
        <is>
          <t>Not Run</t>
        </is>
      </c>
      <c r="I148" s="4"/>
      <c r="J148" s="4"/>
    </row>
    <row r="149" ht="22" customHeight="1">
      <c r="A149" t="inlineStr" s="4">
        <is>
          <t>EXE-148</t>
        </is>
      </c>
      <c r="B149" t="inlineStr" s="4">
        <is>
          <t>Cycle 1</t>
        </is>
      </c>
      <c r="C149" t="inlineStr" s="4">
        <is>
          <t>TC-MITRA-013</t>
        </is>
      </c>
      <c r="D149" s="4"/>
      <c r="E149" s="4"/>
      <c r="F149" t="inlineStr" s="4">
        <is>
          <t>QA/Staging</t>
        </is>
      </c>
      <c r="G149" s="4"/>
      <c r="H149" t="inlineStr" s="4">
        <is>
          <t>Not Run</t>
        </is>
      </c>
      <c r="I149" s="4"/>
      <c r="J149" s="4"/>
    </row>
    <row r="150" ht="22" customHeight="1">
      <c r="A150" t="inlineStr" s="4">
        <is>
          <t>EXE-149</t>
        </is>
      </c>
      <c r="B150" t="inlineStr" s="4">
        <is>
          <t>Cycle 1</t>
        </is>
      </c>
      <c r="C150" t="inlineStr" s="4">
        <is>
          <t>TC-MITRA-014</t>
        </is>
      </c>
      <c r="D150" s="4"/>
      <c r="E150" s="4"/>
      <c r="F150" t="inlineStr" s="4">
        <is>
          <t>QA/Staging</t>
        </is>
      </c>
      <c r="G150" s="4"/>
      <c r="H150" t="inlineStr" s="4">
        <is>
          <t>Not Run</t>
        </is>
      </c>
      <c r="I150" s="4"/>
      <c r="J150" s="4"/>
    </row>
    <row r="151" ht="22" customHeight="1">
      <c r="A151" t="inlineStr" s="4">
        <is>
          <t>EXE-150</t>
        </is>
      </c>
      <c r="B151" t="inlineStr" s="4">
        <is>
          <t>Cycle 1</t>
        </is>
      </c>
      <c r="C151" t="inlineStr" s="4">
        <is>
          <t>TC-MITRA-015</t>
        </is>
      </c>
      <c r="D151" s="4"/>
      <c r="E151" s="4"/>
      <c r="F151" t="inlineStr" s="4">
        <is>
          <t>QA/Staging</t>
        </is>
      </c>
      <c r="G151" s="4"/>
      <c r="H151" t="inlineStr" s="4">
        <is>
          <t>Not Run</t>
        </is>
      </c>
      <c r="I151" s="4"/>
      <c r="J151" s="4"/>
    </row>
    <row r="152" ht="22" customHeight="1">
      <c r="A152" t="inlineStr" s="4">
        <is>
          <t>EXE-151</t>
        </is>
      </c>
      <c r="B152" t="inlineStr" s="4">
        <is>
          <t>Cycle 1</t>
        </is>
      </c>
      <c r="C152" t="inlineStr" s="4">
        <is>
          <t>TC-MITRA-016</t>
        </is>
      </c>
      <c r="D152" s="4"/>
      <c r="E152" s="4"/>
      <c r="F152" t="inlineStr" s="4">
        <is>
          <t>QA/Staging</t>
        </is>
      </c>
      <c r="G152" s="4"/>
      <c r="H152" t="inlineStr" s="4">
        <is>
          <t>Not Run</t>
        </is>
      </c>
      <c r="I152" s="4"/>
      <c r="J152" s="4"/>
    </row>
    <row r="153" ht="22" customHeight="1">
      <c r="A153" t="inlineStr" s="4">
        <is>
          <t>EXE-152</t>
        </is>
      </c>
      <c r="B153" t="inlineStr" s="4">
        <is>
          <t>Cycle 1</t>
        </is>
      </c>
      <c r="C153" t="inlineStr" s="4">
        <is>
          <t>TC-MITRA-017</t>
        </is>
      </c>
      <c r="D153" s="4"/>
      <c r="E153" s="4"/>
      <c r="F153" t="inlineStr" s="4">
        <is>
          <t>QA/Staging</t>
        </is>
      </c>
      <c r="G153" s="4"/>
      <c r="H153" t="inlineStr" s="4">
        <is>
          <t>Not Run</t>
        </is>
      </c>
      <c r="I153" s="4"/>
      <c r="J153" s="4"/>
    </row>
    <row r="154" ht="22" customHeight="1">
      <c r="A154" t="inlineStr" s="4">
        <is>
          <t>EXE-153</t>
        </is>
      </c>
      <c r="B154" t="inlineStr" s="4">
        <is>
          <t>Cycle 1</t>
        </is>
      </c>
      <c r="C154" t="inlineStr" s="4">
        <is>
          <t>TC-MITRA-018</t>
        </is>
      </c>
      <c r="D154" s="4"/>
      <c r="E154" s="4"/>
      <c r="F154" t="inlineStr" s="4">
        <is>
          <t>QA/Staging</t>
        </is>
      </c>
      <c r="G154" s="4"/>
      <c r="H154" t="inlineStr" s="4">
        <is>
          <t>Not Run</t>
        </is>
      </c>
      <c r="I154" s="4"/>
      <c r="J154" s="4"/>
    </row>
    <row r="155" ht="22" customHeight="1">
      <c r="A155" t="inlineStr" s="4">
        <is>
          <t>EXE-154</t>
        </is>
      </c>
      <c r="B155" t="inlineStr" s="4">
        <is>
          <t>Cycle 1</t>
        </is>
      </c>
      <c r="C155" t="inlineStr" s="4">
        <is>
          <t>TC-MITRA-019</t>
        </is>
      </c>
      <c r="D155" s="4"/>
      <c r="E155" s="4"/>
      <c r="F155" t="inlineStr" s="4">
        <is>
          <t>QA/Staging</t>
        </is>
      </c>
      <c r="G155" s="4"/>
      <c r="H155" t="inlineStr" s="4">
        <is>
          <t>Not Run</t>
        </is>
      </c>
      <c r="I155" s="4"/>
      <c r="J155" s="4"/>
    </row>
    <row r="156" ht="22" customHeight="1">
      <c r="A156" t="inlineStr" s="4">
        <is>
          <t>EXE-155</t>
        </is>
      </c>
      <c r="B156" t="inlineStr" s="4">
        <is>
          <t>Cycle 1</t>
        </is>
      </c>
      <c r="C156" t="inlineStr" s="4">
        <is>
          <t>TC-MITRA-020</t>
        </is>
      </c>
      <c r="D156" s="4"/>
      <c r="E156" s="4"/>
      <c r="F156" t="inlineStr" s="4">
        <is>
          <t>QA/Staging</t>
        </is>
      </c>
      <c r="G156" s="4"/>
      <c r="H156" t="inlineStr" s="4">
        <is>
          <t>Not Run</t>
        </is>
      </c>
      <c r="I156" s="4"/>
      <c r="J156" s="4"/>
    </row>
    <row r="157" ht="22" customHeight="1">
      <c r="A157" t="inlineStr" s="4">
        <is>
          <t>EXE-156</t>
        </is>
      </c>
      <c r="B157" t="inlineStr" s="4">
        <is>
          <t>Cycle 1</t>
        </is>
      </c>
      <c r="C157" t="inlineStr" s="4">
        <is>
          <t>TC-API-001</t>
        </is>
      </c>
      <c r="D157" s="4"/>
      <c r="E157" s="4"/>
      <c r="F157" t="inlineStr" s="4">
        <is>
          <t>QA/Staging</t>
        </is>
      </c>
      <c r="G157" s="4"/>
      <c r="H157" t="inlineStr" s="4">
        <is>
          <t>Not Run</t>
        </is>
      </c>
      <c r="I157" s="4"/>
      <c r="J157" s="4"/>
    </row>
    <row r="158" ht="22" customHeight="1">
      <c r="A158" t="inlineStr" s="4">
        <is>
          <t>EXE-157</t>
        </is>
      </c>
      <c r="B158" t="inlineStr" s="4">
        <is>
          <t>Cycle 1</t>
        </is>
      </c>
      <c r="C158" t="inlineStr" s="4">
        <is>
          <t>TC-API-002</t>
        </is>
      </c>
      <c r="D158" s="4"/>
      <c r="E158" s="4"/>
      <c r="F158" t="inlineStr" s="4">
        <is>
          <t>QA/Staging</t>
        </is>
      </c>
      <c r="G158" s="4"/>
      <c r="H158" t="inlineStr" s="4">
        <is>
          <t>Not Run</t>
        </is>
      </c>
      <c r="I158" s="4"/>
      <c r="J158" s="4"/>
    </row>
    <row r="159" ht="22" customHeight="1">
      <c r="A159" t="inlineStr" s="4">
        <is>
          <t>EXE-158</t>
        </is>
      </c>
      <c r="B159" t="inlineStr" s="4">
        <is>
          <t>Cycle 1</t>
        </is>
      </c>
      <c r="C159" t="inlineStr" s="4">
        <is>
          <t>TC-API-003</t>
        </is>
      </c>
      <c r="D159" s="4"/>
      <c r="E159" s="4"/>
      <c r="F159" t="inlineStr" s="4">
        <is>
          <t>QA/Staging</t>
        </is>
      </c>
      <c r="G159" s="4"/>
      <c r="H159" t="inlineStr" s="4">
        <is>
          <t>Not Run</t>
        </is>
      </c>
      <c r="I159" s="4"/>
      <c r="J159" s="4"/>
    </row>
    <row r="160" ht="22" customHeight="1">
      <c r="A160" t="inlineStr" s="4">
        <is>
          <t>EXE-159</t>
        </is>
      </c>
      <c r="B160" t="inlineStr" s="4">
        <is>
          <t>Cycle 1</t>
        </is>
      </c>
      <c r="C160" t="inlineStr" s="4">
        <is>
          <t>TC-API-004</t>
        </is>
      </c>
      <c r="D160" s="4"/>
      <c r="E160" s="4"/>
      <c r="F160" t="inlineStr" s="4">
        <is>
          <t>QA/Staging</t>
        </is>
      </c>
      <c r="G160" s="4"/>
      <c r="H160" t="inlineStr" s="4">
        <is>
          <t>Not Run</t>
        </is>
      </c>
      <c r="I160" s="4"/>
      <c r="J160" s="4"/>
    </row>
    <row r="161" ht="22" customHeight="1">
      <c r="A161" t="inlineStr" s="4">
        <is>
          <t>EXE-160</t>
        </is>
      </c>
      <c r="B161" t="inlineStr" s="4">
        <is>
          <t>Cycle 1</t>
        </is>
      </c>
      <c r="C161" t="inlineStr" s="4">
        <is>
          <t>TC-API-005</t>
        </is>
      </c>
      <c r="D161" s="4"/>
      <c r="E161" s="4"/>
      <c r="F161" t="inlineStr" s="4">
        <is>
          <t>QA/Staging</t>
        </is>
      </c>
      <c r="G161" s="4"/>
      <c r="H161" t="inlineStr" s="4">
        <is>
          <t>Not Run</t>
        </is>
      </c>
      <c r="I161" s="4"/>
      <c r="J161" s="4"/>
    </row>
    <row r="162" ht="22" customHeight="1">
      <c r="A162" t="inlineStr" s="4">
        <is>
          <t>EXE-161</t>
        </is>
      </c>
      <c r="B162" t="inlineStr" s="4">
        <is>
          <t>Cycle 1</t>
        </is>
      </c>
      <c r="C162" t="inlineStr" s="4">
        <is>
          <t>TC-API-006</t>
        </is>
      </c>
      <c r="D162" s="4"/>
      <c r="E162" s="4"/>
      <c r="F162" t="inlineStr" s="4">
        <is>
          <t>QA/Staging</t>
        </is>
      </c>
      <c r="G162" s="4"/>
      <c r="H162" t="inlineStr" s="4">
        <is>
          <t>Not Run</t>
        </is>
      </c>
      <c r="I162" s="4"/>
      <c r="J162" s="4"/>
    </row>
    <row r="163" ht="22" customHeight="1">
      <c r="A163" t="inlineStr" s="4">
        <is>
          <t>EXE-162</t>
        </is>
      </c>
      <c r="B163" t="inlineStr" s="4">
        <is>
          <t>Cycle 1</t>
        </is>
      </c>
      <c r="C163" t="inlineStr" s="4">
        <is>
          <t>TC-API-007</t>
        </is>
      </c>
      <c r="D163" s="4"/>
      <c r="E163" s="4"/>
      <c r="F163" t="inlineStr" s="4">
        <is>
          <t>QA/Staging</t>
        </is>
      </c>
      <c r="G163" s="4"/>
      <c r="H163" t="inlineStr" s="4">
        <is>
          <t>Not Run</t>
        </is>
      </c>
      <c r="I163" s="4"/>
      <c r="J163" s="4"/>
    </row>
    <row r="164" ht="22" customHeight="1">
      <c r="A164" t="inlineStr" s="4">
        <is>
          <t>EXE-163</t>
        </is>
      </c>
      <c r="B164" t="inlineStr" s="4">
        <is>
          <t>Cycle 1</t>
        </is>
      </c>
      <c r="C164" t="inlineStr" s="4">
        <is>
          <t>TC-API-008</t>
        </is>
      </c>
      <c r="D164" s="4"/>
      <c r="E164" s="4"/>
      <c r="F164" t="inlineStr" s="4">
        <is>
          <t>QA/Staging</t>
        </is>
      </c>
      <c r="G164" s="4"/>
      <c r="H164" t="inlineStr" s="4">
        <is>
          <t>Not Run</t>
        </is>
      </c>
      <c r="I164" s="4"/>
      <c r="J164" s="4"/>
    </row>
    <row r="165" ht="22" customHeight="1">
      <c r="A165" t="inlineStr" s="4">
        <is>
          <t>EXE-164</t>
        </is>
      </c>
      <c r="B165" t="inlineStr" s="4">
        <is>
          <t>Cycle 1</t>
        </is>
      </c>
      <c r="C165" t="inlineStr" s="4">
        <is>
          <t>TC-API-009</t>
        </is>
      </c>
      <c r="D165" s="4"/>
      <c r="E165" s="4"/>
      <c r="F165" t="inlineStr" s="4">
        <is>
          <t>QA/Staging</t>
        </is>
      </c>
      <c r="G165" s="4"/>
      <c r="H165" t="inlineStr" s="4">
        <is>
          <t>Not Run</t>
        </is>
      </c>
      <c r="I165" s="4"/>
      <c r="J165" s="4"/>
    </row>
    <row r="166" ht="22" customHeight="1">
      <c r="A166" t="inlineStr" s="4">
        <is>
          <t>EXE-165</t>
        </is>
      </c>
      <c r="B166" t="inlineStr" s="4">
        <is>
          <t>Cycle 1</t>
        </is>
      </c>
      <c r="C166" t="inlineStr" s="4">
        <is>
          <t>TC-API-010</t>
        </is>
      </c>
      <c r="D166" s="4"/>
      <c r="E166" s="4"/>
      <c r="F166" t="inlineStr" s="4">
        <is>
          <t>QA/Staging</t>
        </is>
      </c>
      <c r="G166" s="4"/>
      <c r="H166" t="inlineStr" s="4">
        <is>
          <t>Not Run</t>
        </is>
      </c>
      <c r="I166" s="4"/>
      <c r="J166" s="4"/>
    </row>
    <row r="167" ht="22" customHeight="1">
      <c r="A167" t="inlineStr" s="4">
        <is>
          <t>EXE-166</t>
        </is>
      </c>
      <c r="B167" t="inlineStr" s="4">
        <is>
          <t>Cycle 1</t>
        </is>
      </c>
      <c r="C167" t="inlineStr" s="4">
        <is>
          <t>TC-API-011</t>
        </is>
      </c>
      <c r="D167" s="4"/>
      <c r="E167" s="4"/>
      <c r="F167" t="inlineStr" s="4">
        <is>
          <t>QA/Staging</t>
        </is>
      </c>
      <c r="G167" s="4"/>
      <c r="H167" t="inlineStr" s="4">
        <is>
          <t>Not Run</t>
        </is>
      </c>
      <c r="I167" s="4"/>
      <c r="J167" s="4"/>
    </row>
    <row r="168" ht="22" customHeight="1">
      <c r="A168" t="inlineStr" s="4">
        <is>
          <t>EXE-167</t>
        </is>
      </c>
      <c r="B168" t="inlineStr" s="4">
        <is>
          <t>Cycle 1</t>
        </is>
      </c>
      <c r="C168" t="inlineStr" s="4">
        <is>
          <t>TC-API-012</t>
        </is>
      </c>
      <c r="D168" s="4"/>
      <c r="E168" s="4"/>
      <c r="F168" t="inlineStr" s="4">
        <is>
          <t>QA/Staging</t>
        </is>
      </c>
      <c r="G168" s="4"/>
      <c r="H168" t="inlineStr" s="4">
        <is>
          <t>Not Run</t>
        </is>
      </c>
      <c r="I168" s="4"/>
      <c r="J168" s="4"/>
    </row>
    <row r="169" ht="22" customHeight="1">
      <c r="A169" t="inlineStr" s="4">
        <is>
          <t>EXE-168</t>
        </is>
      </c>
      <c r="B169" t="inlineStr" s="4">
        <is>
          <t>Cycle 1</t>
        </is>
      </c>
      <c r="C169" t="inlineStr" s="4">
        <is>
          <t>TC-API-013</t>
        </is>
      </c>
      <c r="D169" s="4"/>
      <c r="E169" s="4"/>
      <c r="F169" t="inlineStr" s="4">
        <is>
          <t>QA/Staging</t>
        </is>
      </c>
      <c r="G169" s="4"/>
      <c r="H169" t="inlineStr" s="4">
        <is>
          <t>Not Run</t>
        </is>
      </c>
      <c r="I169" s="4"/>
      <c r="J169" s="4"/>
    </row>
    <row r="170" ht="22" customHeight="1">
      <c r="A170" t="inlineStr" s="4">
        <is>
          <t>EXE-169</t>
        </is>
      </c>
      <c r="B170" t="inlineStr" s="4">
        <is>
          <t>Cycle 1</t>
        </is>
      </c>
      <c r="C170" t="inlineStr" s="4">
        <is>
          <t>TC-API-014</t>
        </is>
      </c>
      <c r="D170" s="4"/>
      <c r="E170" s="4"/>
      <c r="F170" t="inlineStr" s="4">
        <is>
          <t>QA/Staging</t>
        </is>
      </c>
      <c r="G170" s="4"/>
      <c r="H170" t="inlineStr" s="4">
        <is>
          <t>Not Run</t>
        </is>
      </c>
      <c r="I170" s="4"/>
      <c r="J170" s="4"/>
    </row>
    <row r="171" ht="22" customHeight="1">
      <c r="A171" t="inlineStr" s="4">
        <is>
          <t>EXE-170</t>
        </is>
      </c>
      <c r="B171" t="inlineStr" s="4">
        <is>
          <t>Cycle 1</t>
        </is>
      </c>
      <c r="C171" t="inlineStr" s="4">
        <is>
          <t>TC-API-015</t>
        </is>
      </c>
      <c r="D171" s="4"/>
      <c r="E171" s="4"/>
      <c r="F171" t="inlineStr" s="4">
        <is>
          <t>QA/Staging</t>
        </is>
      </c>
      <c r="G171" s="4"/>
      <c r="H171" t="inlineStr" s="4">
        <is>
          <t>Not Run</t>
        </is>
      </c>
      <c r="I171" s="4"/>
      <c r="J171" s="4"/>
    </row>
    <row r="172" ht="22" customHeight="1">
      <c r="A172" t="inlineStr" s="4">
        <is>
          <t>EXE-171</t>
        </is>
      </c>
      <c r="B172" t="inlineStr" s="4">
        <is>
          <t>Cycle 1</t>
        </is>
      </c>
      <c r="C172" t="inlineStr" s="4">
        <is>
          <t>TC-API-016</t>
        </is>
      </c>
      <c r="D172" s="4"/>
      <c r="E172" s="4"/>
      <c r="F172" t="inlineStr" s="4">
        <is>
          <t>QA/Staging</t>
        </is>
      </c>
      <c r="G172" s="4"/>
      <c r="H172" t="inlineStr" s="4">
        <is>
          <t>Not Run</t>
        </is>
      </c>
      <c r="I172" s="4"/>
      <c r="J172" s="4"/>
    </row>
    <row r="173" ht="22" customHeight="1">
      <c r="A173" t="inlineStr" s="4">
        <is>
          <t>EXE-172</t>
        </is>
      </c>
      <c r="B173" t="inlineStr" s="4">
        <is>
          <t>Cycle 1</t>
        </is>
      </c>
      <c r="C173" t="inlineStr" s="4">
        <is>
          <t>TC-API-017</t>
        </is>
      </c>
      <c r="D173" s="4"/>
      <c r="E173" s="4"/>
      <c r="F173" t="inlineStr" s="4">
        <is>
          <t>QA/Staging</t>
        </is>
      </c>
      <c r="G173" s="4"/>
      <c r="H173" t="inlineStr" s="4">
        <is>
          <t>Not Run</t>
        </is>
      </c>
      <c r="I173" s="4"/>
      <c r="J173" s="4"/>
    </row>
    <row r="174" ht="22" customHeight="1">
      <c r="A174" t="inlineStr" s="4">
        <is>
          <t>EXE-173</t>
        </is>
      </c>
      <c r="B174" t="inlineStr" s="4">
        <is>
          <t>Cycle 1</t>
        </is>
      </c>
      <c r="C174" t="inlineStr" s="4">
        <is>
          <t>TC-API-018</t>
        </is>
      </c>
      <c r="D174" s="4"/>
      <c r="E174" s="4"/>
      <c r="F174" t="inlineStr" s="4">
        <is>
          <t>QA/Staging</t>
        </is>
      </c>
      <c r="G174" s="4"/>
      <c r="H174" t="inlineStr" s="4">
        <is>
          <t>Not Run</t>
        </is>
      </c>
      <c r="I174" s="4"/>
      <c r="J174" s="4"/>
    </row>
    <row r="175" ht="22" customHeight="1">
      <c r="A175" t="inlineStr" s="4">
        <is>
          <t>EXE-174</t>
        </is>
      </c>
      <c r="B175" t="inlineStr" s="4">
        <is>
          <t>Cycle 1</t>
        </is>
      </c>
      <c r="C175" t="inlineStr" s="4">
        <is>
          <t>TC-API-019</t>
        </is>
      </c>
      <c r="D175" s="4"/>
      <c r="E175" s="4"/>
      <c r="F175" t="inlineStr" s="4">
        <is>
          <t>QA/Staging</t>
        </is>
      </c>
      <c r="G175" s="4"/>
      <c r="H175" t="inlineStr" s="4">
        <is>
          <t>Not Run</t>
        </is>
      </c>
      <c r="I175" s="4"/>
      <c r="J175" s="4"/>
    </row>
    <row r="176" ht="22" customHeight="1">
      <c r="A176" t="inlineStr" s="4">
        <is>
          <t>EXE-175</t>
        </is>
      </c>
      <c r="B176" t="inlineStr" s="4">
        <is>
          <t>Cycle 1</t>
        </is>
      </c>
      <c r="C176" t="inlineStr" s="4">
        <is>
          <t>TC-API-020</t>
        </is>
      </c>
      <c r="D176" s="4"/>
      <c r="E176" s="4"/>
      <c r="F176" t="inlineStr" s="4">
        <is>
          <t>QA/Staging</t>
        </is>
      </c>
      <c r="G176" s="4"/>
      <c r="H176" t="inlineStr" s="4">
        <is>
          <t>Not Run</t>
        </is>
      </c>
      <c r="I176" s="4"/>
      <c r="J176" s="4"/>
    </row>
    <row r="177" ht="22" customHeight="1">
      <c r="A177" t="inlineStr" s="4">
        <is>
          <t>EXE-176</t>
        </is>
      </c>
      <c r="B177" t="inlineStr" s="4">
        <is>
          <t>Cycle 1</t>
        </is>
      </c>
      <c r="C177" t="inlineStr" s="4">
        <is>
          <t>TC-API-021</t>
        </is>
      </c>
      <c r="D177" s="4"/>
      <c r="E177" s="4"/>
      <c r="F177" t="inlineStr" s="4">
        <is>
          <t>QA/Staging</t>
        </is>
      </c>
      <c r="G177" s="4"/>
      <c r="H177" t="inlineStr" s="4">
        <is>
          <t>Not Run</t>
        </is>
      </c>
      <c r="I177" s="4"/>
      <c r="J177" s="4"/>
    </row>
    <row r="178" ht="22" customHeight="1">
      <c r="A178" t="inlineStr" s="4">
        <is>
          <t>EXE-177</t>
        </is>
      </c>
      <c r="B178" t="inlineStr" s="4">
        <is>
          <t>Cycle 1</t>
        </is>
      </c>
      <c r="C178" t="inlineStr" s="4">
        <is>
          <t>TC-API-022</t>
        </is>
      </c>
      <c r="D178" s="4"/>
      <c r="E178" s="4"/>
      <c r="F178" t="inlineStr" s="4">
        <is>
          <t>QA/Staging</t>
        </is>
      </c>
      <c r="G178" s="4"/>
      <c r="H178" t="inlineStr" s="4">
        <is>
          <t>Not Run</t>
        </is>
      </c>
      <c r="I178" s="4"/>
      <c r="J178" s="4"/>
    </row>
    <row r="179" ht="22" customHeight="1">
      <c r="A179" t="inlineStr" s="4">
        <is>
          <t>EXE-178</t>
        </is>
      </c>
      <c r="B179" t="inlineStr" s="4">
        <is>
          <t>Cycle 1</t>
        </is>
      </c>
      <c r="C179" t="inlineStr" s="4">
        <is>
          <t>TC-API-023</t>
        </is>
      </c>
      <c r="D179" s="4"/>
      <c r="E179" s="4"/>
      <c r="F179" t="inlineStr" s="4">
        <is>
          <t>QA/Staging</t>
        </is>
      </c>
      <c r="G179" s="4"/>
      <c r="H179" t="inlineStr" s="4">
        <is>
          <t>Not Run</t>
        </is>
      </c>
      <c r="I179" s="4"/>
      <c r="J179" s="4"/>
    </row>
    <row r="180" ht="22" customHeight="1">
      <c r="A180" t="inlineStr" s="4">
        <is>
          <t>EXE-179</t>
        </is>
      </c>
      <c r="B180" t="inlineStr" s="4">
        <is>
          <t>Cycle 1</t>
        </is>
      </c>
      <c r="C180" t="inlineStr" s="4">
        <is>
          <t>TC-API-024</t>
        </is>
      </c>
      <c r="D180" s="4"/>
      <c r="E180" s="4"/>
      <c r="F180" t="inlineStr" s="4">
        <is>
          <t>QA/Staging</t>
        </is>
      </c>
      <c r="G180" s="4"/>
      <c r="H180" t="inlineStr" s="4">
        <is>
          <t>Not Run</t>
        </is>
      </c>
      <c r="I180" s="4"/>
      <c r="J180" s="4"/>
    </row>
    <row r="181" ht="22" customHeight="1">
      <c r="A181" t="inlineStr" s="4">
        <is>
          <t>EXE-180</t>
        </is>
      </c>
      <c r="B181" t="inlineStr" s="4">
        <is>
          <t>Cycle 1</t>
        </is>
      </c>
      <c r="C181" t="inlineStr" s="4">
        <is>
          <t>TC-API-025</t>
        </is>
      </c>
      <c r="D181" s="4"/>
      <c r="E181" s="4"/>
      <c r="F181" t="inlineStr" s="4">
        <is>
          <t>QA/Staging</t>
        </is>
      </c>
      <c r="G181" s="4"/>
      <c r="H181" t="inlineStr" s="4">
        <is>
          <t>Not Run</t>
        </is>
      </c>
      <c r="I181" s="4"/>
      <c r="J181" s="4"/>
    </row>
    <row r="182" ht="22" customHeight="1">
      <c r="A182" t="inlineStr" s="4">
        <is>
          <t>EXE-181</t>
        </is>
      </c>
      <c r="B182" t="inlineStr" s="4">
        <is>
          <t>Cycle 1</t>
        </is>
      </c>
      <c r="C182" t="inlineStr" s="4">
        <is>
          <t>TC-API-026</t>
        </is>
      </c>
      <c r="D182" s="4"/>
      <c r="E182" s="4"/>
      <c r="F182" t="inlineStr" s="4">
        <is>
          <t>QA/Staging</t>
        </is>
      </c>
      <c r="G182" s="4"/>
      <c r="H182" t="inlineStr" s="4">
        <is>
          <t>Not Run</t>
        </is>
      </c>
      <c r="I182" s="4"/>
      <c r="J182" s="4"/>
    </row>
    <row r="183" ht="22" customHeight="1">
      <c r="A183" t="inlineStr" s="4">
        <is>
          <t>EXE-182</t>
        </is>
      </c>
      <c r="B183" t="inlineStr" s="4">
        <is>
          <t>Cycle 1</t>
        </is>
      </c>
      <c r="C183" t="inlineStr" s="4">
        <is>
          <t>TC-API-027</t>
        </is>
      </c>
      <c r="D183" s="4"/>
      <c r="E183" s="4"/>
      <c r="F183" t="inlineStr" s="4">
        <is>
          <t>QA/Staging</t>
        </is>
      </c>
      <c r="G183" s="4"/>
      <c r="H183" t="inlineStr" s="4">
        <is>
          <t>Not Run</t>
        </is>
      </c>
      <c r="I183" s="4"/>
      <c r="J183" s="4"/>
    </row>
    <row r="184" ht="22" customHeight="1">
      <c r="A184" t="inlineStr" s="4">
        <is>
          <t>EXE-183</t>
        </is>
      </c>
      <c r="B184" t="inlineStr" s="4">
        <is>
          <t>Cycle 1</t>
        </is>
      </c>
      <c r="C184" t="inlineStr" s="4">
        <is>
          <t>TC-API-028</t>
        </is>
      </c>
      <c r="D184" s="4"/>
      <c r="E184" s="4"/>
      <c r="F184" t="inlineStr" s="4">
        <is>
          <t>QA/Staging</t>
        </is>
      </c>
      <c r="G184" s="4"/>
      <c r="H184" t="inlineStr" s="4">
        <is>
          <t>Not Run</t>
        </is>
      </c>
      <c r="I184" s="4"/>
      <c r="J184" s="4"/>
    </row>
    <row r="185" ht="22" customHeight="1">
      <c r="A185" t="inlineStr" s="4">
        <is>
          <t>EXE-184</t>
        </is>
      </c>
      <c r="B185" t="inlineStr" s="4">
        <is>
          <t>Cycle 1</t>
        </is>
      </c>
      <c r="C185" t="inlineStr" s="4">
        <is>
          <t>TC-SEC-001</t>
        </is>
      </c>
      <c r="D185" s="4"/>
      <c r="E185" s="4"/>
      <c r="F185" t="inlineStr" s="4">
        <is>
          <t>QA/Staging</t>
        </is>
      </c>
      <c r="G185" s="4"/>
      <c r="H185" t="inlineStr" s="4">
        <is>
          <t>Not Run</t>
        </is>
      </c>
      <c r="I185" s="4"/>
      <c r="J185" s="4"/>
    </row>
    <row r="186" ht="22" customHeight="1">
      <c r="A186" t="inlineStr" s="4">
        <is>
          <t>EXE-185</t>
        </is>
      </c>
      <c r="B186" t="inlineStr" s="4">
        <is>
          <t>Cycle 1</t>
        </is>
      </c>
      <c r="C186" t="inlineStr" s="4">
        <is>
          <t>TC-SEC-002</t>
        </is>
      </c>
      <c r="D186" s="4"/>
      <c r="E186" s="4"/>
      <c r="F186" t="inlineStr" s="4">
        <is>
          <t>QA/Staging</t>
        </is>
      </c>
      <c r="G186" s="4"/>
      <c r="H186" t="inlineStr" s="4">
        <is>
          <t>Not Run</t>
        </is>
      </c>
      <c r="I186" s="4"/>
      <c r="J186" s="4"/>
    </row>
    <row r="187" ht="22" customHeight="1">
      <c r="A187" t="inlineStr" s="4">
        <is>
          <t>EXE-186</t>
        </is>
      </c>
      <c r="B187" t="inlineStr" s="4">
        <is>
          <t>Cycle 1</t>
        </is>
      </c>
      <c r="C187" t="inlineStr" s="4">
        <is>
          <t>TC-SEC-003</t>
        </is>
      </c>
      <c r="D187" s="4"/>
      <c r="E187" s="4"/>
      <c r="F187" t="inlineStr" s="4">
        <is>
          <t>QA/Staging</t>
        </is>
      </c>
      <c r="G187" s="4"/>
      <c r="H187" t="inlineStr" s="4">
        <is>
          <t>Not Run</t>
        </is>
      </c>
      <c r="I187" s="4"/>
      <c r="J187" s="4"/>
    </row>
    <row r="188" ht="22" customHeight="1">
      <c r="A188" t="inlineStr" s="4">
        <is>
          <t>EXE-187</t>
        </is>
      </c>
      <c r="B188" t="inlineStr" s="4">
        <is>
          <t>Cycle 1</t>
        </is>
      </c>
      <c r="C188" t="inlineStr" s="4">
        <is>
          <t>TC-SEC-004</t>
        </is>
      </c>
      <c r="D188" s="4"/>
      <c r="E188" s="4"/>
      <c r="F188" t="inlineStr" s="4">
        <is>
          <t>QA/Staging</t>
        </is>
      </c>
      <c r="G188" s="4"/>
      <c r="H188" t="inlineStr" s="4">
        <is>
          <t>Not Run</t>
        </is>
      </c>
      <c r="I188" s="4"/>
      <c r="J188" s="4"/>
    </row>
    <row r="189" ht="22" customHeight="1">
      <c r="A189" t="inlineStr" s="4">
        <is>
          <t>EXE-188</t>
        </is>
      </c>
      <c r="B189" t="inlineStr" s="4">
        <is>
          <t>Cycle 1</t>
        </is>
      </c>
      <c r="C189" t="inlineStr" s="4">
        <is>
          <t>TC-SEC-005</t>
        </is>
      </c>
      <c r="D189" s="4"/>
      <c r="E189" s="4"/>
      <c r="F189" t="inlineStr" s="4">
        <is>
          <t>QA/Staging</t>
        </is>
      </c>
      <c r="G189" s="4"/>
      <c r="H189" t="inlineStr" s="4">
        <is>
          <t>Not Run</t>
        </is>
      </c>
      <c r="I189" s="4"/>
      <c r="J189" s="4"/>
    </row>
    <row r="190" ht="22" customHeight="1">
      <c r="A190" t="inlineStr" s="4">
        <is>
          <t>EXE-189</t>
        </is>
      </c>
      <c r="B190" t="inlineStr" s="4">
        <is>
          <t>Cycle 1</t>
        </is>
      </c>
      <c r="C190" t="inlineStr" s="4">
        <is>
          <t>TC-SEC-006</t>
        </is>
      </c>
      <c r="D190" s="4"/>
      <c r="E190" s="4"/>
      <c r="F190" t="inlineStr" s="4">
        <is>
          <t>QA/Staging</t>
        </is>
      </c>
      <c r="G190" s="4"/>
      <c r="H190" t="inlineStr" s="4">
        <is>
          <t>Not Run</t>
        </is>
      </c>
      <c r="I190" s="4"/>
      <c r="J190" s="4"/>
    </row>
    <row r="191" ht="22" customHeight="1">
      <c r="A191" t="inlineStr" s="4">
        <is>
          <t>EXE-190</t>
        </is>
      </c>
      <c r="B191" t="inlineStr" s="4">
        <is>
          <t>Cycle 1</t>
        </is>
      </c>
      <c r="C191" t="inlineStr" s="4">
        <is>
          <t>TC-SEC-007</t>
        </is>
      </c>
      <c r="D191" s="4"/>
      <c r="E191" s="4"/>
      <c r="F191" t="inlineStr" s="4">
        <is>
          <t>QA/Staging</t>
        </is>
      </c>
      <c r="G191" s="4"/>
      <c r="H191" t="inlineStr" s="4">
        <is>
          <t>Not Run</t>
        </is>
      </c>
      <c r="I191" s="4"/>
      <c r="J191" s="4"/>
    </row>
    <row r="192" ht="22" customHeight="1">
      <c r="A192" t="inlineStr" s="4">
        <is>
          <t>EXE-191</t>
        </is>
      </c>
      <c r="B192" t="inlineStr" s="4">
        <is>
          <t>Cycle 1</t>
        </is>
      </c>
      <c r="C192" t="inlineStr" s="4">
        <is>
          <t>TC-SEC-008</t>
        </is>
      </c>
      <c r="D192" s="4"/>
      <c r="E192" s="4"/>
      <c r="F192" t="inlineStr" s="4">
        <is>
          <t>QA/Staging</t>
        </is>
      </c>
      <c r="G192" s="4"/>
      <c r="H192" t="inlineStr" s="4">
        <is>
          <t>Not Run</t>
        </is>
      </c>
      <c r="I192" s="4"/>
      <c r="J192" s="4"/>
    </row>
    <row r="193" ht="22" customHeight="1">
      <c r="A193" t="inlineStr" s="4">
        <is>
          <t>EXE-192</t>
        </is>
      </c>
      <c r="B193" t="inlineStr" s="4">
        <is>
          <t>Cycle 1</t>
        </is>
      </c>
      <c r="C193" t="inlineStr" s="4">
        <is>
          <t>TC-SEC-009</t>
        </is>
      </c>
      <c r="D193" s="4"/>
      <c r="E193" s="4"/>
      <c r="F193" t="inlineStr" s="4">
        <is>
          <t>QA/Staging</t>
        </is>
      </c>
      <c r="G193" s="4"/>
      <c r="H193" t="inlineStr" s="4">
        <is>
          <t>Not Run</t>
        </is>
      </c>
      <c r="I193" s="4"/>
      <c r="J193" s="4"/>
    </row>
    <row r="194" ht="22" customHeight="1">
      <c r="A194" t="inlineStr" s="4">
        <is>
          <t>EXE-193</t>
        </is>
      </c>
      <c r="B194" t="inlineStr" s="4">
        <is>
          <t>Cycle 1</t>
        </is>
      </c>
      <c r="C194" t="inlineStr" s="4">
        <is>
          <t>TC-SEC-010</t>
        </is>
      </c>
      <c r="D194" s="4"/>
      <c r="E194" s="4"/>
      <c r="F194" t="inlineStr" s="4">
        <is>
          <t>QA/Staging</t>
        </is>
      </c>
      <c r="G194" s="4"/>
      <c r="H194" t="inlineStr" s="4">
        <is>
          <t>Not Run</t>
        </is>
      </c>
      <c r="I194" s="4"/>
      <c r="J194" s="4"/>
    </row>
    <row r="195" ht="22" customHeight="1">
      <c r="A195" t="inlineStr" s="4">
        <is>
          <t>EXE-194</t>
        </is>
      </c>
      <c r="B195" t="inlineStr" s="4">
        <is>
          <t>Cycle 1</t>
        </is>
      </c>
      <c r="C195" t="inlineStr" s="4">
        <is>
          <t>TC-SEC-011</t>
        </is>
      </c>
      <c r="D195" s="4"/>
      <c r="E195" s="4"/>
      <c r="F195" t="inlineStr" s="4">
        <is>
          <t>QA/Staging</t>
        </is>
      </c>
      <c r="G195" s="4"/>
      <c r="H195" t="inlineStr" s="4">
        <is>
          <t>Not Run</t>
        </is>
      </c>
      <c r="I195" s="4"/>
      <c r="J195" s="4"/>
    </row>
    <row r="196" ht="22" customHeight="1">
      <c r="A196" t="inlineStr" s="4">
        <is>
          <t>EXE-195</t>
        </is>
      </c>
      <c r="B196" t="inlineStr" s="4">
        <is>
          <t>Cycle 1</t>
        </is>
      </c>
      <c r="C196" t="inlineStr" s="4">
        <is>
          <t>TC-SEC-012</t>
        </is>
      </c>
      <c r="D196" s="4"/>
      <c r="E196" s="4"/>
      <c r="F196" t="inlineStr" s="4">
        <is>
          <t>QA/Staging</t>
        </is>
      </c>
      <c r="G196" s="4"/>
      <c r="H196" t="inlineStr" s="4">
        <is>
          <t>Not Run</t>
        </is>
      </c>
      <c r="I196" s="4"/>
      <c r="J196" s="4"/>
    </row>
    <row r="197" ht="22" customHeight="1">
      <c r="A197" t="inlineStr" s="4">
        <is>
          <t>EXE-196</t>
        </is>
      </c>
      <c r="B197" t="inlineStr" s="4">
        <is>
          <t>Cycle 1</t>
        </is>
      </c>
      <c r="C197" t="inlineStr" s="4">
        <is>
          <t>TC-RETIRE-001</t>
        </is>
      </c>
      <c r="D197" s="4"/>
      <c r="E197" s="4"/>
      <c r="F197" t="inlineStr" s="4">
        <is>
          <t>QA/Staging</t>
        </is>
      </c>
      <c r="G197" s="4"/>
      <c r="H197" t="inlineStr" s="4">
        <is>
          <t>Not Run</t>
        </is>
      </c>
      <c r="I197" s="4"/>
      <c r="J197" s="4"/>
    </row>
    <row r="198" ht="22" customHeight="1">
      <c r="A198" t="inlineStr" s="4">
        <is>
          <t>EXE-197</t>
        </is>
      </c>
      <c r="B198" t="inlineStr" s="4">
        <is>
          <t>Cycle 1</t>
        </is>
      </c>
      <c r="C198" t="inlineStr" s="4">
        <is>
          <t>TC-RETIRE-002</t>
        </is>
      </c>
      <c r="D198" s="4"/>
      <c r="E198" s="4"/>
      <c r="F198" t="inlineStr" s="4">
        <is>
          <t>QA/Staging</t>
        </is>
      </c>
      <c r="G198" s="4"/>
      <c r="H198" t="inlineStr" s="4">
        <is>
          <t>Not Run</t>
        </is>
      </c>
      <c r="I198" s="4"/>
      <c r="J198" s="4"/>
    </row>
    <row r="199" ht="22" customHeight="1">
      <c r="A199" t="inlineStr" s="4">
        <is>
          <t>EXE-198</t>
        </is>
      </c>
      <c r="B199" t="inlineStr" s="4">
        <is>
          <t>Cycle 1</t>
        </is>
      </c>
      <c r="C199" t="inlineStr" s="4">
        <is>
          <t>TC-RETIRE-003</t>
        </is>
      </c>
      <c r="D199" s="4"/>
      <c r="E199" s="4"/>
      <c r="F199" t="inlineStr" s="4">
        <is>
          <t>QA/Staging</t>
        </is>
      </c>
      <c r="G199" s="4"/>
      <c r="H199" t="inlineStr" s="4">
        <is>
          <t>Not Run</t>
        </is>
      </c>
      <c r="I199" s="4"/>
      <c r="J199" s="4"/>
    </row>
    <row r="200" ht="22" customHeight="1">
      <c r="A200" t="inlineStr" s="4">
        <is>
          <t>EXE-199</t>
        </is>
      </c>
      <c r="B200" t="inlineStr" s="4">
        <is>
          <t>Cycle 1</t>
        </is>
      </c>
      <c r="C200" t="inlineStr" s="4">
        <is>
          <t>TC-RETIRE-004</t>
        </is>
      </c>
      <c r="D200" s="4"/>
      <c r="E200" s="4"/>
      <c r="F200" t="inlineStr" s="4">
        <is>
          <t>QA/Staging</t>
        </is>
      </c>
      <c r="G200" s="4"/>
      <c r="H200" t="inlineStr" s="4">
        <is>
          <t>Not Run</t>
        </is>
      </c>
      <c r="I200" s="4"/>
      <c r="J200" s="4"/>
    </row>
    <row r="201" ht="22" customHeight="1">
      <c r="A201" t="inlineStr" s="4">
        <is>
          <t>EXE-200</t>
        </is>
      </c>
      <c r="B201" t="inlineStr" s="4">
        <is>
          <t>Cycle 1</t>
        </is>
      </c>
      <c r="C201" t="inlineStr" s="4">
        <is>
          <t>TC-RETIRE-005</t>
        </is>
      </c>
      <c r="D201" s="4"/>
      <c r="E201" s="4"/>
      <c r="F201" t="inlineStr" s="4">
        <is>
          <t>QA/Staging</t>
        </is>
      </c>
      <c r="G201" s="4"/>
      <c r="H201" t="inlineStr" s="4">
        <is>
          <t>Not Run</t>
        </is>
      </c>
      <c r="I201" s="4"/>
      <c r="J201" s="4"/>
    </row>
    <row r="202" ht="22" customHeight="1">
      <c r="A202" t="inlineStr" s="4">
        <is>
          <t>EXE-201</t>
        </is>
      </c>
      <c r="B202" t="inlineStr" s="4">
        <is>
          <t>Cycle 1</t>
        </is>
      </c>
      <c r="C202" t="inlineStr" s="4">
        <is>
          <t>TC-RETIRE-006</t>
        </is>
      </c>
      <c r="D202" s="4"/>
      <c r="E202" s="4"/>
      <c r="F202" t="inlineStr" s="4">
        <is>
          <t>QA/Staging</t>
        </is>
      </c>
      <c r="G202" s="4"/>
      <c r="H202" t="inlineStr" s="4">
        <is>
          <t>Not Run</t>
        </is>
      </c>
      <c r="I202" s="4"/>
      <c r="J202" s="4"/>
    </row>
    <row r="203" ht="22" customHeight="1">
      <c r="A203" t="inlineStr" s="4">
        <is>
          <t>EXE-202</t>
        </is>
      </c>
      <c r="B203" t="inlineStr" s="4">
        <is>
          <t>Cycle 1</t>
        </is>
      </c>
      <c r="C203" t="inlineStr" s="4">
        <is>
          <t>TC-ADMIN-SYSTEM-001</t>
        </is>
      </c>
      <c r="D203" s="4"/>
      <c r="E203" s="4"/>
      <c r="F203" t="inlineStr" s="4">
        <is>
          <t>QA/Staging</t>
        </is>
      </c>
      <c r="G203" s="4"/>
      <c r="H203" t="inlineStr" s="4">
        <is>
          <t>Not Run</t>
        </is>
      </c>
      <c r="I203" s="4"/>
      <c r="J203" s="4"/>
    </row>
    <row r="204" ht="22" customHeight="1">
      <c r="A204" t="inlineStr" s="4">
        <is>
          <t>EXE-203</t>
        </is>
      </c>
      <c r="B204" t="inlineStr" s="4">
        <is>
          <t>Cycle 1</t>
        </is>
      </c>
      <c r="C204" t="inlineStr" s="4">
        <is>
          <t>TC-ADMIN-SYSTEM-002</t>
        </is>
      </c>
      <c r="D204" s="4"/>
      <c r="E204" s="4"/>
      <c r="F204" t="inlineStr" s="4">
        <is>
          <t>QA/Staging</t>
        </is>
      </c>
      <c r="G204" s="4"/>
      <c r="H204" t="inlineStr" s="4">
        <is>
          <t>Not Run</t>
        </is>
      </c>
      <c r="I204" s="4"/>
      <c r="J204" s="4"/>
    </row>
    <row r="205" ht="22" customHeight="1">
      <c r="A205" t="inlineStr" s="4">
        <is>
          <t>EXE-204</t>
        </is>
      </c>
      <c r="B205" t="inlineStr" s="4">
        <is>
          <t>Cycle 1</t>
        </is>
      </c>
      <c r="C205" t="inlineStr" s="4">
        <is>
          <t>TC-ADMIN-SYSTEM-003</t>
        </is>
      </c>
      <c r="D205" s="4"/>
      <c r="E205" s="4"/>
      <c r="F205" t="inlineStr" s="4">
        <is>
          <t>QA/Staging</t>
        </is>
      </c>
      <c r="G205" s="4"/>
      <c r="H205" t="inlineStr" s="4">
        <is>
          <t>Not Run</t>
        </is>
      </c>
      <c r="I205" s="4"/>
      <c r="J205" s="4"/>
    </row>
    <row r="206" ht="22" customHeight="1">
      <c r="A206" t="inlineStr" s="4">
        <is>
          <t>EXE-205</t>
        </is>
      </c>
      <c r="B206" t="inlineStr" s="4">
        <is>
          <t>Cycle 1</t>
        </is>
      </c>
      <c r="C206" t="inlineStr" s="4">
        <is>
          <t>TC-ADMIN-SYSTEM-004</t>
        </is>
      </c>
      <c r="D206" s="4"/>
      <c r="E206" s="4"/>
      <c r="F206" t="inlineStr" s="4">
        <is>
          <t>QA/Staging</t>
        </is>
      </c>
      <c r="G206" s="4"/>
      <c r="H206" t="inlineStr" s="4">
        <is>
          <t>Not Run</t>
        </is>
      </c>
      <c r="I206" s="4"/>
      <c r="J206" s="4"/>
    </row>
    <row r="207" ht="22" customHeight="1">
      <c r="A207" t="inlineStr" s="4">
        <is>
          <t>EXE-206</t>
        </is>
      </c>
      <c r="B207" t="inlineStr" s="4">
        <is>
          <t>Cycle 1</t>
        </is>
      </c>
      <c r="C207" t="inlineStr" s="4">
        <is>
          <t>TC-ADMIN-SYSTEM-005</t>
        </is>
      </c>
      <c r="D207" s="4"/>
      <c r="E207" s="4"/>
      <c r="F207" t="inlineStr" s="4">
        <is>
          <t>QA/Staging</t>
        </is>
      </c>
      <c r="G207" s="4"/>
      <c r="H207" t="inlineStr" s="4">
        <is>
          <t>Not Run</t>
        </is>
      </c>
      <c r="I207" s="4"/>
      <c r="J207" s="4"/>
    </row>
    <row r="208" ht="22" customHeight="1">
      <c r="A208" t="inlineStr" s="4">
        <is>
          <t>EXE-207</t>
        </is>
      </c>
      <c r="B208" t="inlineStr" s="4">
        <is>
          <t>Cycle 1</t>
        </is>
      </c>
      <c r="C208" t="inlineStr" s="4">
        <is>
          <t>TC-ADMIN-SYSTEM-006</t>
        </is>
      </c>
      <c r="D208" s="4"/>
      <c r="E208" s="4"/>
      <c r="F208" t="inlineStr" s="4">
        <is>
          <t>QA/Staging</t>
        </is>
      </c>
      <c r="G208" s="4"/>
      <c r="H208" t="inlineStr" s="4">
        <is>
          <t>Not Run</t>
        </is>
      </c>
      <c r="I208" s="4"/>
      <c r="J208" s="4"/>
    </row>
    <row r="209" ht="22" customHeight="1">
      <c r="A209" t="inlineStr" s="4">
        <is>
          <t>EXE-208</t>
        </is>
      </c>
      <c r="B209" t="inlineStr" s="4">
        <is>
          <t>Cycle 1</t>
        </is>
      </c>
      <c r="C209" t="inlineStr" s="4">
        <is>
          <t>TC-ADMIN-SYSTEM-007</t>
        </is>
      </c>
      <c r="D209" s="4"/>
      <c r="E209" s="4"/>
      <c r="F209" t="inlineStr" s="4">
        <is>
          <t>QA/Staging</t>
        </is>
      </c>
      <c r="G209" s="4"/>
      <c r="H209" t="inlineStr" s="4">
        <is>
          <t>Not Run</t>
        </is>
      </c>
      <c r="I209" s="4"/>
      <c r="J209" s="4"/>
    </row>
    <row r="210" ht="22" customHeight="1">
      <c r="A210" t="inlineStr" s="4">
        <is>
          <t>EXE-209</t>
        </is>
      </c>
      <c r="B210" t="inlineStr" s="4">
        <is>
          <t>Cycle 1</t>
        </is>
      </c>
      <c r="C210" t="inlineStr" s="4">
        <is>
          <t>TC-ADMIN-SYSTEM-008</t>
        </is>
      </c>
      <c r="D210" s="4"/>
      <c r="E210" s="4"/>
      <c r="F210" t="inlineStr" s="4">
        <is>
          <t>QA/Staging</t>
        </is>
      </c>
      <c r="G210" s="4"/>
      <c r="H210" t="inlineStr" s="4">
        <is>
          <t>Not Run</t>
        </is>
      </c>
      <c r="I210" s="4"/>
      <c r="J210" s="4"/>
    </row>
  </sheetData>
  <autoFilter ref="A1:J210"/>
  <conditionalFormatting sqref="H2:H1000">
    <cfRule type="containsText" priority="1" operator="containsText" text="Passed" dxfId="0">
      <formula>NOT(ISERROR(SEARCH("Passed",H2)))</formula>
    </cfRule>
    <cfRule type="containsText" priority="2" operator="containsText" text="Failed" dxfId="1">
      <formula>NOT(ISERROR(SEARCH("Failed",H2)))</formula>
    </cfRule>
    <cfRule type="containsText" priority="3" operator="containsText" text="Blocked" dxfId="2">
      <formula>NOT(ISERROR(SEARCH("Blocked",H2)))</formula>
    </cfRule>
    <cfRule type="containsText" priority="4" operator="containsText" text="Retest" dxfId="3">
      <formula>NOT(ISERROR(SEARCH("Retest",H2)))</formula>
    </cfRule>
    <cfRule type="containsText" priority="5" operator="containsText" text="Not Run" dxfId="4">
      <formula>NOT(ISERROR(SEARCH("Not Run",H2)))</formula>
    </cfRule>
  </conditionalFormatting>
  <dataValidations count="1">
    <dataValidation type="list" allowBlank="1" showErrorMessage="1" sqref="H2:H1000">
      <formula1>"Not Run,Passed,Failed,Blocked,Retest,Skipped,N/A"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58" customWidth="1"/>
    <col min="3" max="3" width="44" customWidth="1"/>
    <col min="4" max="4" width="18" customWidth="1"/>
    <col min="5" max="5" width="58" customWidth="1"/>
  </cols>
  <sheetData>
    <row r="1" ht="28" customHeight="1">
      <c r="A1" t="inlineStr" s="2">
        <is>
          <t>Environment Item</t>
        </is>
      </c>
      <c r="B1" t="inlineStr" s="2">
        <is>
          <t>Value</t>
        </is>
      </c>
      <c r="C1" t="inlineStr" s="2">
        <is>
          <t>Purpose</t>
        </is>
      </c>
      <c r="D1" t="inlineStr" s="2">
        <is>
          <t>Status</t>
        </is>
      </c>
      <c r="E1" t="inlineStr" s="2">
        <is>
          <t>Notes</t>
        </is>
      </c>
    </row>
    <row r="2" ht="22" customHeight="1">
      <c r="A2" t="inlineStr" s="4">
        <is>
          <t>Backend Runtime</t>
        </is>
      </c>
      <c r="B2" t="inlineStr" s="4">
        <is>
          <t>PHP ^8.2; Laravel ^12.0</t>
        </is>
      </c>
      <c r="C2" t="inlineStr" s="4">
        <is>
          <t>Serve web/API routes</t>
        </is>
      </c>
      <c r="D2" t="inlineStr" s="4">
        <is>
          <t>Needs QA Setup</t>
        </is>
      </c>
      <c r="E2" t="inlineStr" s="4">
        <is>
          <t>Version from composer.json</t>
        </is>
      </c>
    </row>
    <row r="3" ht="22" customHeight="1">
      <c r="A3" t="inlineStr" s="4">
        <is>
          <t>Frontend</t>
        </is>
      </c>
      <c r="B3" t="inlineStr" s="4">
        <is>
          <t>React ^19.2.0; Inertia ^2.3.7; TypeScript; Tailwind ^4.0.0</t>
        </is>
      </c>
      <c r="C3" t="inlineStr" s="4">
        <is>
          <t>Browser UI</t>
        </is>
      </c>
      <c r="D3" t="inlineStr" s="4">
        <is>
          <t>Needs QA Setup</t>
        </is>
      </c>
      <c r="E3" t="inlineStr" s="4">
        <is>
          <t>Version from package.json</t>
        </is>
      </c>
    </row>
    <row r="4" ht="22" customHeight="1">
      <c r="A4" t="inlineStr" s="4">
        <is>
          <t>Database</t>
        </is>
      </c>
      <c r="B4" t="inlineStr" s="4">
        <is>
          <t>Laravel database connection from environment</t>
        </is>
      </c>
      <c r="C4" t="inlineStr" s="4">
        <is>
          <t>Persistent app data</t>
        </is>
      </c>
      <c r="D4" t="inlineStr" s="4">
        <is>
          <t>Needs QA Setup</t>
        </is>
      </c>
      <c r="E4" t="inlineStr" s="4">
        <is>
          <t>Do not record secrets in this workbook</t>
        </is>
      </c>
    </row>
    <row r="5" ht="22" customHeight="1">
      <c r="A5" t="inlineStr" s="4">
        <is>
          <t>Storage</t>
        </is>
      </c>
      <c r="B5" t="inlineStr" s="4">
        <is>
          <t>Laravel public storage / uploaded media</t>
        </is>
      </c>
      <c r="C5" t="inlineStr" s="4">
        <is>
          <t>Banners, partner logos, QR logos, wisata photos, ticket PDFs</t>
        </is>
      </c>
      <c r="D5" t="inlineStr" s="4">
        <is>
          <t>Needs QA Setup</t>
        </is>
      </c>
      <c r="E5" t="inlineStr" s="4">
        <is>
          <t>storage:link expected in deployment</t>
        </is>
      </c>
    </row>
    <row r="6" ht="22" customHeight="1">
      <c r="A6" t="inlineStr" s="4">
        <is>
          <t>Mail</t>
        </is>
      </c>
      <c r="B6" t="inlineStr" s="4">
        <is>
          <t>Sandbox/fake SMTP recommended</t>
        </is>
      </c>
      <c r="C6" t="inlineStr" s="4">
        <is>
          <t>Email verification, password reset, ticket email</t>
        </is>
      </c>
      <c r="D6" t="inlineStr" s="4">
        <is>
          <t>Needs QA Setup</t>
        </is>
      </c>
      <c r="E6" t="inlineStr" s="4">
        <is>
          <t>Do not use production recipients</t>
        </is>
      </c>
    </row>
    <row r="7" ht="22" customHeight="1">
      <c r="A7" t="inlineStr" s="4">
        <is>
          <t>Payment</t>
        </is>
      </c>
      <c r="B7" t="inlineStr" s="4">
        <is>
          <t>Midtrans sandbox/fake mode</t>
        </is>
      </c>
      <c r="C7" t="inlineStr" s="4">
        <is>
          <t>Booking payment snap/redirect/callback</t>
        </is>
      </c>
      <c r="D7" t="inlineStr" s="4">
        <is>
          <t>Needs QA Setup</t>
        </is>
      </c>
      <c r="E7" t="inlineStr" s="4">
        <is>
          <t>No real charge during QA</t>
        </is>
      </c>
    </row>
    <row r="8" ht="22" customHeight="1">
      <c r="A8" t="inlineStr" s="4">
        <is>
          <t>Cache/Queue</t>
        </is>
      </c>
      <c r="B8" t="inlineStr" s="4">
        <is>
          <t>Redis optional; Laravel cache; Reverb/Pusher stack present</t>
        </is>
      </c>
      <c r="C8" t="inlineStr" s="4">
        <is>
          <t>Public API cache, notifications/realtime where configured</t>
        </is>
      </c>
      <c r="D8" t="inlineStr" s="4">
        <is>
          <t>Needs Verification</t>
        </is>
      </c>
      <c r="E8" t="inlineStr" s="4">
        <is>
          <t>Redis tests may skip if runtime unavailable</t>
        </is>
      </c>
    </row>
    <row r="9" ht="22" customHeight="1">
      <c r="A9" t="inlineStr" s="4">
        <is>
          <t>Mobile API Client</t>
        </is>
      </c>
      <c r="B9" t="inlineStr" s="4">
        <is>
          <t>Postman/Insomnia/curl or Flutter QA build</t>
        </is>
      </c>
      <c r="C9" t="inlineStr" s="4">
        <is>
          <t>Sanctum API and mobile flows</t>
        </is>
      </c>
      <c r="D9" t="inlineStr" s="4">
        <is>
          <t>Needs QA Setup</t>
        </is>
      </c>
      <c r="E9" t="inlineStr" s="4">
        <is>
          <t>Use dummy accounts only</t>
        </is>
      </c>
    </row>
    <row r="10" ht="22" customHeight="1">
      <c r="A10" t="inlineStr" s="4">
        <is>
          <t>Browsers</t>
        </is>
      </c>
      <c r="B10" t="inlineStr" s="4">
        <is>
          <t>Chrome, Firefox, Edge, Android Chrome, iOS Safari</t>
        </is>
      </c>
      <c r="C10" t="inlineStr" s="4">
        <is>
          <t>Compatibility testing</t>
        </is>
      </c>
      <c r="D10" t="inlineStr" s="4">
        <is>
          <t>Not Run</t>
        </is>
      </c>
      <c r="E10" t="inlineStr" s="4">
        <is>
          <t>See Compatibility Test sheet</t>
        </is>
      </c>
    </row>
    <row r="11" ht="22" customHeight="1">
      <c r="A11" t="inlineStr" s="4">
        <is>
          <t>Automated Tests</t>
        </is>
      </c>
      <c r="B11" t="inlineStr" s="4">
        <is>
          <t>Pest/PHPUnit feature/unit tests exist</t>
        </is>
      </c>
      <c r="C11" t="inlineStr" s="4">
        <is>
          <t>Reference regression automation</t>
        </is>
      </c>
      <c r="D11" t="inlineStr" s="4">
        <is>
          <t>Needs Verification</t>
        </is>
      </c>
      <c r="E11" t="inlineStr" s="4">
        <is>
          <t>Manual statuses remain Not Run</t>
        </is>
      </c>
    </row>
  </sheetData>
  <autoFilter ref="A1:E11"/>
  <conditionalFormatting sqref="D2:D1000"/>
  <dataValidations count="1">
    <dataValidation type="list" allowBlank="1" showErrorMessage="1" sqref="D2:D1000">
      <formula1>"Ready,Needs QA Setup,Needs Verification,Not Applicable,Blocked"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8" customWidth="1"/>
    <col min="3" max="3" width="58" customWidth="1"/>
    <col min="4" max="4" width="12" customWidth="1"/>
    <col min="5" max="5" width="14" customWidth="1"/>
    <col min="6" max="6" width="30" customWidth="1"/>
    <col min="7" max="7" width="44" customWidth="1"/>
  </cols>
  <sheetData>
    <row r="1" ht="28" customHeight="1">
      <c r="A1" t="inlineStr" s="2">
        <is>
          <t>Checklist ID</t>
        </is>
      </c>
      <c r="B1" t="inlineStr" s="2">
        <is>
          <t>Category</t>
        </is>
      </c>
      <c r="C1" t="inlineStr" s="2">
        <is>
          <t>Check</t>
        </is>
      </c>
      <c r="D1" t="inlineStr" s="2">
        <is>
          <t>Required</t>
        </is>
      </c>
      <c r="E1" t="inlineStr" s="2">
        <is>
          <t>Status</t>
        </is>
      </c>
      <c r="F1" t="inlineStr" s="2">
        <is>
          <t>Evidence</t>
        </is>
      </c>
      <c r="G1" t="inlineStr" s="2">
        <is>
          <t>Notes</t>
        </is>
      </c>
    </row>
    <row r="2" ht="22" customHeight="1">
      <c r="A2" t="inlineStr" s="4">
        <is>
          <t>CHK-001</t>
        </is>
      </c>
      <c r="B2" t="inlineStr" s="4">
        <is>
          <t>Functional</t>
        </is>
      </c>
      <c r="C2" t="inlineStr" s="4">
        <is>
          <t>All P0 test cases executed and passed</t>
        </is>
      </c>
      <c r="D2" t="inlineStr" s="4">
        <is>
          <t>Yes</t>
        </is>
      </c>
      <c r="E2" t="inlineStr" s="4">
        <is>
          <t>Not Run</t>
        </is>
      </c>
      <c r="F2" s="4"/>
      <c r="G2" s="4"/>
    </row>
    <row r="3" ht="22" customHeight="1">
      <c r="A3" t="inlineStr" s="4">
        <is>
          <t>CHK-002</t>
        </is>
      </c>
      <c r="B3" t="inlineStr" s="4">
        <is>
          <t>Security</t>
        </is>
      </c>
      <c r="C3" t="inlineStr" s="4">
        <is>
          <t>No open Critical security/access-control defect</t>
        </is>
      </c>
      <c r="D3" t="inlineStr" s="4">
        <is>
          <t>Yes</t>
        </is>
      </c>
      <c r="E3" t="inlineStr" s="4">
        <is>
          <t>Not Run</t>
        </is>
      </c>
      <c r="F3" s="4"/>
      <c r="G3" s="4"/>
    </row>
    <row r="4" ht="22" customHeight="1">
      <c r="A4" t="inlineStr" s="4">
        <is>
          <t>CHK-003</t>
        </is>
      </c>
      <c r="B4" t="inlineStr" s="4">
        <is>
          <t>Security</t>
        </is>
      </c>
      <c r="C4" t="inlineStr" s="4">
        <is>
          <t>Guest/user/mitra/admin access matrix verified</t>
        </is>
      </c>
      <c r="D4" t="inlineStr" s="4">
        <is>
          <t>Yes</t>
        </is>
      </c>
      <c r="E4" t="inlineStr" s="4">
        <is>
          <t>Not Run</t>
        </is>
      </c>
      <c r="F4" s="4"/>
      <c r="G4" s="4"/>
    </row>
    <row r="5" ht="22" customHeight="1">
      <c r="A5" t="inlineStr" s="4">
        <is>
          <t>CHK-004</t>
        </is>
      </c>
      <c r="B5" t="inlineStr" s="4">
        <is>
          <t>Authentication</t>
        </is>
      </c>
      <c r="C5" t="inlineStr" s="4">
        <is>
          <t>Login/register/password reset/email verification smoke passed</t>
        </is>
      </c>
      <c r="D5" t="inlineStr" s="4">
        <is>
          <t>Yes</t>
        </is>
      </c>
      <c r="E5" t="inlineStr" s="4">
        <is>
          <t>Not Run</t>
        </is>
      </c>
      <c r="F5" s="4"/>
      <c r="G5" s="4"/>
    </row>
    <row r="6" ht="22" customHeight="1">
      <c r="A6" t="inlineStr" s="4">
        <is>
          <t>CHK-005</t>
        </is>
      </c>
      <c r="B6" t="inlineStr" s="4">
        <is>
          <t>Booking</t>
        </is>
      </c>
      <c r="C6" t="inlineStr" s="4">
        <is>
          <t>Wisata booking + payment sandbox + e-ticket flow passed</t>
        </is>
      </c>
      <c r="D6" t="inlineStr" s="4">
        <is>
          <t>Yes</t>
        </is>
      </c>
      <c r="E6" t="inlineStr" s="4">
        <is>
          <t>Not Run</t>
        </is>
      </c>
      <c r="F6" s="4"/>
      <c r="G6" s="4"/>
    </row>
    <row r="7" ht="22" customHeight="1">
      <c r="A7" t="inlineStr" s="4">
        <is>
          <t>CHK-006</t>
        </is>
      </c>
      <c r="B7" t="inlineStr" s="4">
        <is>
          <t>QR Scan</t>
        </is>
      </c>
      <c r="C7" t="inlineStr" s="4">
        <is>
          <t>Mitra QR + user scan + one-time ticket usage passed</t>
        </is>
      </c>
      <c r="D7" t="inlineStr" s="4">
        <is>
          <t>Yes</t>
        </is>
      </c>
      <c r="E7" t="inlineStr" s="4">
        <is>
          <t>Not Run</t>
        </is>
      </c>
      <c r="F7" s="4"/>
      <c r="G7" s="4"/>
    </row>
    <row r="8" ht="22" customHeight="1">
      <c r="A8" t="inlineStr" s="4">
        <is>
          <t>CHK-007</t>
        </is>
      </c>
      <c r="B8" t="inlineStr" s="4">
        <is>
          <t>Admin</t>
        </is>
      </c>
      <c r="C8" t="inlineStr" s="4">
        <is>
          <t>Admin wisata, voucher, content, and mitra management smoke passed</t>
        </is>
      </c>
      <c r="D8" t="inlineStr" s="4">
        <is>
          <t>Yes</t>
        </is>
      </c>
      <c r="E8" t="inlineStr" s="4">
        <is>
          <t>Not Run</t>
        </is>
      </c>
      <c r="F8" s="4"/>
      <c r="G8" s="4"/>
    </row>
    <row r="9" ht="22" customHeight="1">
      <c r="A9" t="inlineStr" s="4">
        <is>
          <t>CHK-008</t>
        </is>
      </c>
      <c r="B9" t="inlineStr" s="4">
        <is>
          <t>Mitra</t>
        </is>
      </c>
      <c r="C9" t="inlineStr" s="4">
        <is>
          <t>Mitra dashboard/destination/ticket/booking/QR smoke passed</t>
        </is>
      </c>
      <c r="D9" t="inlineStr" s="4">
        <is>
          <t>Yes</t>
        </is>
      </c>
      <c r="E9" t="inlineStr" s="4">
        <is>
          <t>Not Run</t>
        </is>
      </c>
      <c r="F9" s="4"/>
      <c r="G9" s="4"/>
    </row>
    <row r="10" ht="22" customHeight="1">
      <c r="A10" t="inlineStr" s="4">
        <is>
          <t>CHK-009</t>
        </is>
      </c>
      <c r="B10" t="inlineStr" s="4">
        <is>
          <t>Responsive</t>
        </is>
      </c>
      <c r="C10" t="inlineStr" s="4">
        <is>
          <t>Mobile and desktop representative routes checked</t>
        </is>
      </c>
      <c r="D10" t="inlineStr" s="4">
        <is>
          <t>Yes</t>
        </is>
      </c>
      <c r="E10" t="inlineStr" s="4">
        <is>
          <t>Not Run</t>
        </is>
      </c>
      <c r="F10" s="4"/>
      <c r="G10" s="4"/>
    </row>
    <row r="11" ht="22" customHeight="1">
      <c r="A11" t="inlineStr" s="4">
        <is>
          <t>CHK-010</t>
        </is>
      </c>
      <c r="B11" t="inlineStr" s="4">
        <is>
          <t>Compatibility</t>
        </is>
      </c>
      <c r="C11" t="inlineStr" s="4">
        <is>
          <t>Chrome/Firefox/Edge/Android/iOS representative pass</t>
        </is>
      </c>
      <c r="D11" t="inlineStr" s="4">
        <is>
          <t>No</t>
        </is>
      </c>
      <c r="E11" t="inlineStr" s="4">
        <is>
          <t>Not Run</t>
        </is>
      </c>
      <c r="F11" s="4"/>
      <c r="G11" s="4"/>
    </row>
    <row r="12" ht="22" customHeight="1">
      <c r="A12" t="inlineStr" s="4">
        <is>
          <t>CHK-011</t>
        </is>
      </c>
      <c r="B12" t="inlineStr" s="4">
        <is>
          <t>Data</t>
        </is>
      </c>
      <c r="C12" t="inlineStr" s="4">
        <is>
          <t>No orphan/cross-owner data found in QA checks</t>
        </is>
      </c>
      <c r="D12" t="inlineStr" s="4">
        <is>
          <t>Yes</t>
        </is>
      </c>
      <c r="E12" t="inlineStr" s="4">
        <is>
          <t>Not Run</t>
        </is>
      </c>
      <c r="F12" s="4"/>
      <c r="G12" s="4"/>
    </row>
    <row r="13" ht="22" customHeight="1">
      <c r="A13" t="inlineStr" s="4">
        <is>
          <t>CHK-012</t>
        </is>
      </c>
      <c r="B13" t="inlineStr" s="4">
        <is>
          <t>Deployment</t>
        </is>
      </c>
      <c r="C13" t="inlineStr" s="4">
        <is>
          <t>Storage link, env, queue/cache/payment/mail sandbox verified</t>
        </is>
      </c>
      <c r="D13" t="inlineStr" s="4">
        <is>
          <t>Yes</t>
        </is>
      </c>
      <c r="E13" t="inlineStr" s="4">
        <is>
          <t>Not Run</t>
        </is>
      </c>
      <c r="F13" s="4"/>
      <c r="G13" s="4"/>
    </row>
    <row r="14" ht="22" customHeight="1">
      <c r="A14" t="inlineStr" s="4">
        <is>
          <t>CHK-013</t>
        </is>
      </c>
      <c r="B14" t="inlineStr" s="4">
        <is>
          <t>Regression</t>
        </is>
      </c>
      <c r="C14" t="inlineStr" s="4">
        <is>
          <t>Regression suite run or risk accepted</t>
        </is>
      </c>
      <c r="D14" t="inlineStr" s="4">
        <is>
          <t>Yes</t>
        </is>
      </c>
      <c r="E14" t="inlineStr" s="4">
        <is>
          <t>Not Run</t>
        </is>
      </c>
      <c r="F14" s="4"/>
      <c r="G14" s="4"/>
    </row>
    <row r="15" ht="22" customHeight="1">
      <c r="A15" t="inlineStr" s="4">
        <is>
          <t>CHK-014</t>
        </is>
      </c>
      <c r="B15" t="inlineStr" s="4">
        <is>
          <t>Defects</t>
        </is>
      </c>
      <c r="C15" t="inlineStr" s="4">
        <is>
          <t>No open P0/P1 release-blocking defects</t>
        </is>
      </c>
      <c r="D15" t="inlineStr" s="4">
        <is>
          <t>Yes</t>
        </is>
      </c>
      <c r="E15" t="inlineStr" s="4">
        <is>
          <t>Not Run</t>
        </is>
      </c>
      <c r="F15" s="4"/>
      <c r="G15" s="4"/>
    </row>
    <row r="16" ht="22" customHeight="1">
      <c r="A16" t="inlineStr" s="4">
        <is>
          <t>CHK-015</t>
        </is>
      </c>
      <c r="B16" t="inlineStr" s="4">
        <is>
          <t>Documentation</t>
        </is>
      </c>
      <c r="C16" t="inlineStr" s="4">
        <is>
          <t>Known issues and release notes updated</t>
        </is>
      </c>
      <c r="D16" t="inlineStr" s="4">
        <is>
          <t>Yes</t>
        </is>
      </c>
      <c r="E16" t="inlineStr" s="4">
        <is>
          <t>Not Run</t>
        </is>
      </c>
      <c r="F16" s="4"/>
      <c r="G16" s="4"/>
    </row>
  </sheetData>
  <autoFilter ref="A1:G16"/>
  <conditionalFormatting sqref="E2:E1000">
    <cfRule type="containsText" priority="1" operator="containsText" text="Passed" dxfId="0">
      <formula>NOT(ISERROR(SEARCH("Passed",E2)))</formula>
    </cfRule>
    <cfRule type="containsText" priority="2" operator="containsText" text="Failed" dxfId="1">
      <formula>NOT(ISERROR(SEARCH("Failed",E2)))</formula>
    </cfRule>
    <cfRule type="containsText" priority="3" operator="containsText" text="Blocked" dxfId="2">
      <formula>NOT(ISERROR(SEARCH("Blocked",E2)))</formula>
    </cfRule>
    <cfRule type="containsText" priority="4" operator="containsText" text="Retest" dxfId="3">
      <formula>NOT(ISERROR(SEARCH("Retest",E2)))</formula>
    </cfRule>
    <cfRule type="containsText" priority="5" operator="containsText" text="Not Run" dxfId="4">
      <formula>NOT(ISERROR(SEARCH("Not Run",E2)))</formula>
    </cfRule>
  </conditionalFormatting>
  <dataValidations count="1">
    <dataValidation type="list" allowBlank="1" showErrorMessage="1" sqref="E2:E1000">
      <formula1>"Not Run,Passed,Failed,Blocked,Retest,Skipped,N/A"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2" width="22" customWidth="1"/>
    <col min="3" max="3" width="55" customWidth="1"/>
  </cols>
  <sheetData>
    <row r="1" ht="28" customHeight="1">
      <c r="A1" t="inlineStr" s="2">
        <is>
          <t>Metric</t>
        </is>
      </c>
      <c r="B1" t="inlineStr" s="2">
        <is>
          <t>Formula / Value</t>
        </is>
      </c>
      <c r="C1" t="inlineStr" s="2">
        <is>
          <t>Notes</t>
        </is>
      </c>
    </row>
    <row r="2" ht="22" customHeight="1">
      <c r="A2" t="inlineStr" s="4">
        <is>
          <t>Total Test Cases</t>
        </is>
      </c>
      <c r="B2" s="4">
        <f>COUNTA('Test Cases'!$A$2:$A$1000)</f>
      </c>
      <c r="C2" t="inlineStr" s="4">
        <is>
          <t>All manual test cases in workbook</t>
        </is>
      </c>
    </row>
    <row r="3" ht="22" customHeight="1">
      <c r="A3" t="inlineStr" s="4">
        <is>
          <t>Executed</t>
        </is>
      </c>
      <c r="B3" s="4">
        <f>COUNTIFS('Test Cases'!$L$2:$L$1000,"&lt;&gt;Not Run",'Test Cases'!$L$2:$L$1000,"&lt;&gt;")</f>
      </c>
      <c r="C3" t="inlineStr" s="4">
        <is>
          <t>Passed + Failed + Blocked + Retest + Skipped + N/A</t>
        </is>
      </c>
    </row>
    <row r="4" ht="22" customHeight="1">
      <c r="A4" t="inlineStr" s="4">
        <is>
          <t>Not Run</t>
        </is>
      </c>
      <c r="B4" s="4">
        <f>COUNTIF('Test Cases'!$L$2:$L$1000,"Not Run")</f>
      </c>
      <c r="C4" t="inlineStr" s="4">
        <is>
          <t>Default initial status</t>
        </is>
      </c>
    </row>
    <row r="5" ht="22" customHeight="1">
      <c r="A5" t="inlineStr" s="4">
        <is>
          <t>Passed</t>
        </is>
      </c>
      <c r="B5" s="4">
        <f>COUNTIF('Test Cases'!$L$2:$L$1000,"Passed")</f>
      </c>
      <c r="C5" s="4"/>
    </row>
    <row r="6" ht="22" customHeight="1">
      <c r="A6" t="inlineStr" s="4">
        <is>
          <t>Failed</t>
        </is>
      </c>
      <c r="B6" s="4">
        <f>COUNTIF('Test Cases'!$L$2:$L$1000,"Failed")</f>
      </c>
      <c r="C6" s="4"/>
    </row>
    <row r="7" ht="22" customHeight="1">
      <c r="A7" t="inlineStr" s="4">
        <is>
          <t>Blocked</t>
        </is>
      </c>
      <c r="B7" s="4">
        <f>COUNTIF('Test Cases'!$L$2:$L$1000,"Blocked")</f>
      </c>
      <c r="C7" s="4"/>
    </row>
    <row r="8" ht="22" customHeight="1">
      <c r="A8" t="inlineStr" s="4">
        <is>
          <t>Retest</t>
        </is>
      </c>
      <c r="B8" s="4">
        <f>COUNTIF('Test Cases'!$L$2:$L$1000,"Retest")</f>
      </c>
      <c r="C8" s="4"/>
    </row>
    <row r="9" ht="22" customHeight="1">
      <c r="A9" t="inlineStr" s="4">
        <is>
          <t>Pass Rate</t>
        </is>
      </c>
      <c r="B9" s="4">
        <f>IFERROR(B5/B2,0)</f>
      </c>
      <c r="C9" t="inlineStr" s="4">
        <is>
          <t>Formula updates when QA changes status</t>
        </is>
      </c>
    </row>
    <row r="10" ht="22" customHeight="1">
      <c r="A10" t="inlineStr" s="4">
        <is>
          <t>Failure Rate</t>
        </is>
      </c>
      <c r="B10" s="4">
        <f>IFERROR(B6/B2,0)</f>
      </c>
      <c r="C10" t="inlineStr" s="4">
        <is>
          <t>Formula updates when QA changes status</t>
        </is>
      </c>
    </row>
    <row r="11" ht="22" customHeight="1">
      <c r="A11" t="inlineStr" s="4">
        <is>
          <t>Execution Progress</t>
        </is>
      </c>
      <c r="B11" s="4">
        <f>IFERROR(B3/B2,0)</f>
      </c>
      <c r="C11" t="inlineStr" s="4">
        <is>
          <t>Formula updates when QA changes status</t>
        </is>
      </c>
    </row>
    <row r="12" ht="22" customHeight="1">
      <c r="A12" t="inlineStr" s="4">
        <is>
          <t>P0</t>
        </is>
      </c>
      <c r="B12" s="4">
        <f>COUNTIF('Test Cases'!$M$2:$M$1000,"P0")</f>
      </c>
      <c r="C12" t="inlineStr" s="4">
        <is>
          <t>Critical business risk</t>
        </is>
      </c>
    </row>
    <row r="13" ht="22" customHeight="1">
      <c r="A13" t="inlineStr" s="4">
        <is>
          <t>P1</t>
        </is>
      </c>
      <c r="B13" s="4">
        <f>COUNTIF('Test Cases'!$M$2:$M$1000,"P1")</f>
      </c>
      <c r="C13" t="inlineStr" s="4">
        <is>
          <t>High priority</t>
        </is>
      </c>
    </row>
    <row r="14" ht="22" customHeight="1">
      <c r="A14" t="inlineStr" s="4">
        <is>
          <t>P2</t>
        </is>
      </c>
      <c r="B14" s="4">
        <f>COUNTIF('Test Cases'!$M$2:$M$1000,"P2")</f>
      </c>
      <c r="C14" t="inlineStr" s="4">
        <is>
          <t>Medium priority</t>
        </is>
      </c>
    </row>
    <row r="15" ht="22" customHeight="1">
      <c r="A15" t="inlineStr" s="4">
        <is>
          <t>P3</t>
        </is>
      </c>
      <c r="B15" s="4">
        <f>COUNTIF('Test Cases'!$M$2:$M$1000,"P3")</f>
      </c>
      <c r="C15" t="inlineStr" s="4">
        <is>
          <t>Low priority</t>
        </is>
      </c>
    </row>
    <row r="16" ht="22" customHeight="1">
      <c r="A16" s="4"/>
      <c r="B16" s="4"/>
      <c r="C16" s="4"/>
    </row>
    <row r="17" ht="22" customHeight="1">
      <c r="A17" t="inlineStr" s="4">
        <is>
          <t>Tests by Module</t>
        </is>
      </c>
      <c r="B17" t="inlineStr" s="4">
        <is>
          <t>Count</t>
        </is>
      </c>
      <c r="C17" s="4"/>
    </row>
    <row r="18" ht="22" customHeight="1">
      <c r="A18" t="inlineStr" s="4">
        <is>
          <t>Mobile API</t>
        </is>
      </c>
      <c r="B18" s="4">
        <f>COUNTIF('Test Cases'!$C$2:$C$1000,"Mobile API")</f>
      </c>
      <c r="C18" s="4"/>
    </row>
    <row r="19" ht="22" customHeight="1">
      <c r="A19" t="inlineStr" s="4">
        <is>
          <t>Admin Wisata</t>
        </is>
      </c>
      <c r="B19" s="4">
        <f>COUNTIF('Test Cases'!$C$2:$C$1000,"Admin Wisata")</f>
      </c>
      <c r="C19" s="4"/>
    </row>
    <row r="20" ht="22" customHeight="1">
      <c r="A20" t="inlineStr" s="4">
        <is>
          <t>Admin Public Content</t>
        </is>
      </c>
      <c r="B20" s="4">
        <f>COUNTIF('Test Cases'!$C$2:$C$1000,"Admin Public Content")</f>
      </c>
      <c r="C20" s="4"/>
    </row>
    <row r="21" ht="22" customHeight="1">
      <c r="A21" t="inlineStr" s="4">
        <is>
          <t>Mitra Wisata</t>
        </is>
      </c>
      <c r="B21" s="4">
        <f>COUNTIF('Test Cases'!$C$2:$C$1000,"Mitra Wisata")</f>
      </c>
      <c r="C21" s="4"/>
    </row>
    <row r="22" ht="22" customHeight="1">
      <c r="A22" t="inlineStr" s="4">
        <is>
          <t>Wisata Booking</t>
        </is>
      </c>
      <c r="B22" s="4">
        <f>COUNTIF('Test Cases'!$C$2:$C$1000,"Wisata Booking")</f>
      </c>
      <c r="C22" s="4"/>
    </row>
    <row r="23" ht="22" customHeight="1">
      <c r="A23" t="inlineStr" s="4">
        <is>
          <t>Authentication</t>
        </is>
      </c>
      <c r="B23" s="4">
        <f>COUNTIF('Test Cases'!$C$2:$C$1000,"Authentication")</f>
      </c>
      <c r="C23" s="4"/>
    </row>
    <row r="24" ht="22" customHeight="1">
      <c r="A24" t="inlineStr" s="4">
        <is>
          <t>Security</t>
        </is>
      </c>
      <c r="B24" s="4">
        <f>COUNTIF('Test Cases'!$C$2:$C$1000,"Security")</f>
      </c>
      <c r="C24" s="4"/>
    </row>
    <row r="25" ht="22" customHeight="1">
      <c r="A25" t="inlineStr" s="4">
        <is>
          <t>Public Home</t>
        </is>
      </c>
      <c r="B25" s="4">
        <f>COUNTIF('Test Cases'!$C$2:$C$1000,"Public Home")</f>
      </c>
      <c r="C25" s="4"/>
    </row>
    <row r="26" ht="22" customHeight="1">
      <c r="A26" t="inlineStr" s="4">
        <is>
          <t>Wisata Catalog</t>
        </is>
      </c>
      <c r="B26" s="4">
        <f>COUNTIF('Test Cases'!$C$2:$C$1000,"Wisata Catalog")</f>
      </c>
      <c r="C26" s="4"/>
    </row>
    <row r="27" ht="22" customHeight="1">
      <c r="A27" t="inlineStr" s="4">
        <is>
          <t>Wisata Detail</t>
        </is>
      </c>
      <c r="B27" s="4">
        <f>COUNTIF('Test Cases'!$C$2:$C$1000,"Wisata Detail")</f>
      </c>
      <c r="C27" s="4"/>
    </row>
    <row r="28" ht="22" customHeight="1">
      <c r="A28" t="inlineStr" s="4">
        <is>
          <t>Wisata Scan</t>
        </is>
      </c>
      <c r="B28" s="4">
        <f>COUNTIF('Test Cases'!$C$2:$C$1000,"Wisata Scan")</f>
      </c>
      <c r="C28" s="4"/>
    </row>
    <row r="29" ht="22" customHeight="1">
      <c r="A29" t="inlineStr" s="4">
        <is>
          <t>User Account</t>
        </is>
      </c>
      <c r="B29" s="4">
        <f>COUNTIF('Test Cases'!$C$2:$C$1000,"User Account")</f>
      </c>
      <c r="C29" s="4"/>
    </row>
    <row r="30" ht="22" customHeight="1">
      <c r="A30" t="inlineStr" s="4">
        <is>
          <t>Admin System</t>
        </is>
      </c>
      <c r="B30" s="4">
        <f>COUNTIF('Test Cases'!$C$2:$C$1000,"Admin System")</f>
      </c>
      <c r="C30" s="4"/>
    </row>
    <row r="31" ht="22" customHeight="1">
      <c r="A31" t="inlineStr" s="4">
        <is>
          <t>Admin Mitra Wisata</t>
        </is>
      </c>
      <c r="B31" s="4">
        <f>COUNTIF('Test Cases'!$C$2:$C$1000,"Admin Mitra Wisata")</f>
      </c>
      <c r="C31" s="4"/>
    </row>
    <row r="32" ht="22" customHeight="1">
      <c r="A32" t="inlineStr" s="4">
        <is>
          <t>Retired/Partial Modules</t>
        </is>
      </c>
      <c r="B32" s="4">
        <f>COUNTIF('Test Cases'!$C$2:$C$1000,"Retired/Partial Modules")</f>
      </c>
      <c r="C32" s="4"/>
    </row>
    <row r="33" ht="22" customHeight="1">
      <c r="A33" s="4"/>
      <c r="B33" s="4"/>
      <c r="C33" s="4"/>
    </row>
    <row r="34" ht="22" customHeight="1">
      <c r="A34" t="inlineStr" s="4">
        <is>
          <t>Tests by Type</t>
        </is>
      </c>
      <c r="B34" t="inlineStr" s="4">
        <is>
          <t>Count</t>
        </is>
      </c>
      <c r="C34" s="4"/>
    </row>
    <row r="35" ht="22" customHeight="1">
      <c r="A35" t="inlineStr" s="4">
        <is>
          <t>Functional</t>
        </is>
      </c>
      <c r="B35" s="4">
        <f>COUNTIF('Test Cases'!$O$2:$O$1000,"Functional")</f>
      </c>
      <c r="C35" s="4"/>
    </row>
    <row r="36" ht="22" customHeight="1">
      <c r="A36" t="inlineStr" s="4">
        <is>
          <t>Access Control</t>
        </is>
      </c>
      <c r="B36" s="4">
        <f>COUNTIF('Test Cases'!$O$2:$O$1000,"Access Control")</f>
      </c>
      <c r="C36" s="4"/>
    </row>
    <row r="37" ht="22" customHeight="1">
      <c r="A37" t="inlineStr" s="4">
        <is>
          <t>Integration</t>
        </is>
      </c>
      <c r="B37" s="4">
        <f>COUNTIF('Test Cases'!$O$2:$O$1000,"Integration")</f>
      </c>
      <c r="C37" s="4"/>
    </row>
    <row r="38" ht="22" customHeight="1">
      <c r="A38" t="inlineStr" s="4">
        <is>
          <t>Validation</t>
        </is>
      </c>
      <c r="B38" s="4">
        <f>COUNTIF('Test Cases'!$O$2:$O$1000,"Validation")</f>
      </c>
      <c r="C38" s="4"/>
    </row>
    <row r="39" ht="22" customHeight="1">
      <c r="A39" t="inlineStr" s="4">
        <is>
          <t>Security</t>
        </is>
      </c>
      <c r="B39" s="4">
        <f>COUNTIF('Test Cases'!$O$2:$O$1000,"Security")</f>
      </c>
      <c r="C39" s="4"/>
    </row>
    <row r="40" ht="22" customHeight="1">
      <c r="A40" t="inlineStr" s="4">
        <is>
          <t>UI</t>
        </is>
      </c>
      <c r="B40" s="4">
        <f>COUNTIF('Test Cases'!$O$2:$O$1000,"UI")</f>
      </c>
      <c r="C40" s="4"/>
    </row>
    <row r="41" ht="22" customHeight="1">
      <c r="A41" t="inlineStr" s="4">
        <is>
          <t>Authentication</t>
        </is>
      </c>
      <c r="B41" s="4">
        <f>COUNTIF('Test Cases'!$O$2:$O$1000,"Authentication")</f>
      </c>
      <c r="C41" s="4"/>
    </row>
    <row r="42" ht="22" customHeight="1">
      <c r="A42" t="inlineStr" s="4">
        <is>
          <t>Regression</t>
        </is>
      </c>
      <c r="B42" s="4">
        <f>COUNTIF('Test Cases'!$O$2:$O$1000,"Regression")</f>
      </c>
      <c r="C42" s="4"/>
    </row>
    <row r="43" ht="22" customHeight="1">
      <c r="A43" t="inlineStr" s="4">
        <is>
          <t>Negative</t>
        </is>
      </c>
      <c r="B43" s="4">
        <f>COUNTIF('Test Cases'!$O$2:$O$1000,"Negative")</f>
      </c>
      <c r="C43" s="4"/>
    </row>
  </sheetData>
  <autoFilter ref="A1:C4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48" customWidth="1"/>
    <col min="3" max="3" width="42" customWidth="1"/>
    <col min="4" max="4" width="26" customWidth="1"/>
    <col min="5" max="5" width="18" customWidth="1"/>
    <col min="6" max="6" width="70" customWidth="1"/>
    <col min="7" max="7" width="70" customWidth="1"/>
  </cols>
  <sheetData>
    <row r="1" ht="28" customHeight="1">
      <c r="A1" t="inlineStr" s="2">
        <is>
          <t>Method</t>
        </is>
      </c>
      <c r="B1" t="inlineStr" s="2">
        <is>
          <t>URI</t>
        </is>
      </c>
      <c r="C1" t="inlineStr" s="2">
        <is>
          <t>Route Name</t>
        </is>
      </c>
      <c r="D1" t="inlineStr" s="2">
        <is>
          <t>Mapped Module</t>
        </is>
      </c>
      <c r="E1" t="inlineStr" s="2">
        <is>
          <t>Expected Role</t>
        </is>
      </c>
      <c r="F1" t="inlineStr" s="2">
        <is>
          <t>Handler</t>
        </is>
      </c>
      <c r="G1" t="inlineStr" s="2">
        <is>
          <t>Middleware</t>
        </is>
      </c>
    </row>
    <row r="2" ht="22" customHeight="1">
      <c r="A2" t="inlineStr" s="4">
        <is>
          <t>GET|HEAD</t>
        </is>
      </c>
      <c r="B2" t="inlineStr" s="4">
        <is>
          <t>.well-known/apple-app-site-association</t>
        </is>
      </c>
      <c r="C2" s="4"/>
      <c r="D2" t="inlineStr" s="4">
        <is>
          <t>Other / Legacy / Shared</t>
        </is>
      </c>
      <c r="E2" t="inlineStr" s="4">
        <is>
          <t>Guest/Public</t>
        </is>
      </c>
      <c r="F2" t="inlineStr" s="4">
        <is>
          <t>App\Http\Controllers\PasskeyAssociationController@appleAppSiteAssociation</t>
        </is>
      </c>
      <c r="G2" t="inlineStr" s="4">
        <is>
          <t>web</t>
        </is>
      </c>
    </row>
    <row r="3" ht="22" customHeight="1">
      <c r="A3" t="inlineStr" s="4">
        <is>
          <t>GET|HEAD</t>
        </is>
      </c>
      <c r="B3" t="inlineStr" s="4">
        <is>
          <t>.well-known/assetlinks.json</t>
        </is>
      </c>
      <c r="C3" s="4"/>
      <c r="D3" t="inlineStr" s="4">
        <is>
          <t>Other / Legacy / Shared</t>
        </is>
      </c>
      <c r="E3" t="inlineStr" s="4">
        <is>
          <t>Guest/Public</t>
        </is>
      </c>
      <c r="F3" t="inlineStr" s="4">
        <is>
          <t>App\Http\Controllers\PasskeyAssociationController@assetLinks</t>
        </is>
      </c>
      <c r="G3" t="inlineStr" s="4">
        <is>
          <t>web</t>
        </is>
      </c>
    </row>
    <row r="4" ht="22" customHeight="1">
      <c r="A4" t="inlineStr" s="4">
        <is>
          <t>GET|HEAD</t>
        </is>
      </c>
      <c r="B4" t="inlineStr" s="4">
        <is>
          <t>/</t>
        </is>
      </c>
      <c r="C4" t="inlineStr" s="4">
        <is>
          <t>home</t>
        </is>
      </c>
      <c r="D4" t="inlineStr" s="4">
        <is>
          <t>Public Web</t>
        </is>
      </c>
      <c r="E4" t="inlineStr" s="4">
        <is>
          <t>Guest/Public</t>
        </is>
      </c>
      <c r="F4" t="inlineStr" s="4">
        <is>
          <t>App\Http\Controllers\PublicHomeController@index</t>
        </is>
      </c>
      <c r="G4" t="inlineStr" s="4">
        <is>
          <t>web</t>
        </is>
      </c>
    </row>
    <row r="5" ht="22" customHeight="1">
      <c r="A5" t="inlineStr" s="4">
        <is>
          <t>GET|HEAD</t>
        </is>
      </c>
      <c r="B5" t="inlineStr" s="4">
        <is>
          <t>about</t>
        </is>
      </c>
      <c r="C5" t="inlineStr" s="4">
        <is>
          <t>public.about</t>
        </is>
      </c>
      <c r="D5" t="inlineStr" s="4">
        <is>
          <t>Public Web</t>
        </is>
      </c>
      <c r="E5" t="inlineStr" s="4">
        <is>
          <t>Guest/Public</t>
        </is>
      </c>
      <c r="F5" t="inlineStr" s="4">
        <is>
          <t>App\Http\Controllers\PublicAboutController@show</t>
        </is>
      </c>
      <c r="G5" t="inlineStr" s="4">
        <is>
          <t>web</t>
        </is>
      </c>
    </row>
    <row r="6" ht="22" customHeight="1">
      <c r="A6" t="inlineStr" s="4">
        <is>
          <t>GET|HEAD</t>
        </is>
      </c>
      <c r="B6" t="inlineStr" s="4">
        <is>
          <t>academy</t>
        </is>
      </c>
      <c r="C6" t="inlineStr" s="4">
        <is>
          <t>academy.search</t>
        </is>
      </c>
      <c r="D6" t="inlineStr" s="4">
        <is>
          <t>Retired Product Surface</t>
        </is>
      </c>
      <c r="E6" t="inlineStr" s="4">
        <is>
          <t>Guest/Public</t>
        </is>
      </c>
      <c r="F6" t="inlineStr" s="4">
        <is>
          <t>App\Http\Controllers\PublicAcademyController@index</t>
        </is>
      </c>
      <c r="G6" t="inlineStr" s="4">
        <is>
          <t>web</t>
        </is>
      </c>
    </row>
    <row r="7" ht="22" customHeight="1">
      <c r="A7" t="inlineStr" s="4">
        <is>
          <t>POST</t>
        </is>
      </c>
      <c r="B7" t="inlineStr" s="4">
        <is>
          <t>academy/booking/confirm</t>
        </is>
      </c>
      <c r="C7" t="inlineStr" s="4">
        <is>
          <t>academy.booking.confirm</t>
        </is>
      </c>
      <c r="D7" t="inlineStr" s="4">
        <is>
          <t>Retired Product Surface</t>
        </is>
      </c>
      <c r="E7" t="inlineStr" s="4">
        <is>
          <t>Guest/Public</t>
        </is>
      </c>
      <c r="F7" t="inlineStr" s="4">
        <is>
          <t>App\Http\Controllers\AcademyPublicBookingController@confirm</t>
        </is>
      </c>
      <c r="G7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8" ht="22" customHeight="1">
      <c r="A8" t="inlineStr" s="4">
        <is>
          <t>POST</t>
        </is>
      </c>
      <c r="B8" t="inlineStr" s="4">
        <is>
          <t>academy/booking/prepare</t>
        </is>
      </c>
      <c r="C8" t="inlineStr" s="4">
        <is>
          <t>academy.booking.prepare</t>
        </is>
      </c>
      <c r="D8" t="inlineStr" s="4">
        <is>
          <t>Retired Product Surface</t>
        </is>
      </c>
      <c r="E8" t="inlineStr" s="4">
        <is>
          <t>Guest/Public</t>
        </is>
      </c>
      <c r="F8" t="inlineStr" s="4">
        <is>
          <t>App\Http\Controllers\AcademyPublicBookingController@prepare</t>
        </is>
      </c>
      <c r="G8" t="inlineStr" s="4">
        <is>
          <t>web, App\Http\Middleware\EnsureTransactionsAvailable</t>
        </is>
      </c>
    </row>
    <row r="9" ht="22" customHeight="1">
      <c r="A9" t="inlineStr" s="4">
        <is>
          <t>GET|HEAD</t>
        </is>
      </c>
      <c r="B9" t="inlineStr" s="4">
        <is>
          <t>academy/booking/review</t>
        </is>
      </c>
      <c r="C9" t="inlineStr" s="4">
        <is>
          <t>academy.booking.review</t>
        </is>
      </c>
      <c r="D9" t="inlineStr" s="4">
        <is>
          <t>Retired Product Surface</t>
        </is>
      </c>
      <c r="E9" t="inlineStr" s="4">
        <is>
          <t>Guest/Public</t>
        </is>
      </c>
      <c r="F9" t="inlineStr" s="4">
        <is>
          <t>App\Http\Controllers\AcademyPublicBookingController@review</t>
        </is>
      </c>
      <c r="G9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10" ht="22" customHeight="1">
      <c r="A10" t="inlineStr" s="4">
        <is>
          <t>GET|HEAD</t>
        </is>
      </c>
      <c r="B10" t="inlineStr" s="4">
        <is>
          <t>academy/booking/{booking}</t>
        </is>
      </c>
      <c r="C10" t="inlineStr" s="4">
        <is>
          <t>academy.booking.show</t>
        </is>
      </c>
      <c r="D10" t="inlineStr" s="4">
        <is>
          <t>Retired Product Surface</t>
        </is>
      </c>
      <c r="E10" t="inlineStr" s="4">
        <is>
          <t>Guest/Public</t>
        </is>
      </c>
      <c r="F10" t="inlineStr" s="4">
        <is>
          <t>App\Http\Controllers\AcademyPublicBookingController@show</t>
        </is>
      </c>
      <c r="G10" t="inlineStr" s="4">
        <is>
          <t>web, Illuminate\Auth\Middleware\Authenticate, Illuminate\Auth\Middleware\EnsureEmailIsVerified, App\Http\Middleware\EnsureUser, App\Http\Middleware\LogUserActivity</t>
        </is>
      </c>
    </row>
    <row r="11" ht="22" customHeight="1">
      <c r="A11" t="inlineStr" s="4">
        <is>
          <t>GET|HEAD</t>
        </is>
      </c>
      <c r="B11" t="inlineStr" s="4">
        <is>
          <t>academy/booking/{booking}/payment</t>
        </is>
      </c>
      <c r="C11" t="inlineStr" s="4">
        <is>
          <t>academy.booking.payment</t>
        </is>
      </c>
      <c r="D11" t="inlineStr" s="4">
        <is>
          <t>Retired Product Surface</t>
        </is>
      </c>
      <c r="E11" t="inlineStr" s="4">
        <is>
          <t>Guest/Public</t>
        </is>
      </c>
      <c r="F11" t="inlineStr" s="4">
        <is>
          <t>App\Http\Controllers\AcademyPublicBookingController@payment</t>
        </is>
      </c>
      <c r="G11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12" ht="22" customHeight="1">
      <c r="A12" t="inlineStr" s="4">
        <is>
          <t>GET|HEAD</t>
        </is>
      </c>
      <c r="B12" t="inlineStr" s="4">
        <is>
          <t>academy/booking/{booking}/ticket</t>
        </is>
      </c>
      <c r="C12" t="inlineStr" s="4">
        <is>
          <t>academy.booking.ticket</t>
        </is>
      </c>
      <c r="D12" t="inlineStr" s="4">
        <is>
          <t>Retired Product Surface</t>
        </is>
      </c>
      <c r="E12" t="inlineStr" s="4">
        <is>
          <t>Guest/Public</t>
        </is>
      </c>
      <c r="F12" t="inlineStr" s="4">
        <is>
          <t>App\Http\Controllers\AcademyPublicBookingController@ticket</t>
        </is>
      </c>
      <c r="G12" t="inlineStr" s="4">
        <is>
          <t>web, Illuminate\Auth\Middleware\Authenticate, Illuminate\Auth\Middleware\EnsureEmailIsVerified, App\Http\Middleware\EnsureUser, App\Http\Middleware\LogUserActivity</t>
        </is>
      </c>
    </row>
    <row r="13" ht="22" customHeight="1">
      <c r="A13" t="inlineStr" s="4">
        <is>
          <t>GET|HEAD</t>
        </is>
      </c>
      <c r="B13" t="inlineStr" s="4">
        <is>
          <t>academy/{class}</t>
        </is>
      </c>
      <c r="C13" t="inlineStr" s="4">
        <is>
          <t>academy.show</t>
        </is>
      </c>
      <c r="D13" t="inlineStr" s="4">
        <is>
          <t>Retired Product Surface</t>
        </is>
      </c>
      <c r="E13" t="inlineStr" s="4">
        <is>
          <t>Guest/Public</t>
        </is>
      </c>
      <c r="F13" t="inlineStr" s="4">
        <is>
          <t>App\Http\Controllers\PublicAcademyController@show</t>
        </is>
      </c>
      <c r="G13" t="inlineStr" s="4">
        <is>
          <t>web</t>
        </is>
      </c>
    </row>
    <row r="14" ht="22" customHeight="1">
      <c r="A14" t="inlineStr" s="4">
        <is>
          <t>GET|HEAD</t>
        </is>
      </c>
      <c r="B14" t="inlineStr" s="4">
        <is>
          <t>admin/academy/attendees</t>
        </is>
      </c>
      <c r="C14" t="inlineStr" s="4">
        <is>
          <t>admin.academy.attendees.index</t>
        </is>
      </c>
      <c r="D14" t="inlineStr" s="4">
        <is>
          <t>Other / Legacy / Shared</t>
        </is>
      </c>
      <c r="E14" t="inlineStr" s="4">
        <is>
          <t>Admin</t>
        </is>
      </c>
      <c r="F14" t="inlineStr" s="4">
        <is>
          <t>App\Http\Controllers\Admin\Academy\AttendeeController@index</t>
        </is>
      </c>
      <c r="G14" t="inlineStr" s="4">
        <is>
          <t>web, Illuminate\Auth\Middleware\Authenticate, Illuminate\Auth\Middleware\EnsureEmailIsVerified, App\Http\Middleware\EnsureAdmin, App\Http\Middleware\LogAdminActivity</t>
        </is>
      </c>
    </row>
    <row r="15" ht="22" customHeight="1">
      <c r="A15" t="inlineStr" s="4">
        <is>
          <t>GET|HEAD</t>
        </is>
      </c>
      <c r="B15" t="inlineStr" s="4">
        <is>
          <t>admin/academy/bookings</t>
        </is>
      </c>
      <c r="C15" t="inlineStr" s="4">
        <is>
          <t>admin.academy.bookings.index</t>
        </is>
      </c>
      <c r="D15" t="inlineStr" s="4">
        <is>
          <t>Other / Legacy / Shared</t>
        </is>
      </c>
      <c r="E15" t="inlineStr" s="4">
        <is>
          <t>Admin</t>
        </is>
      </c>
      <c r="F15" t="inlineStr" s="4">
        <is>
          <t>App\Http\Controllers\Admin\Academy\BookingController@index</t>
        </is>
      </c>
      <c r="G15" t="inlineStr" s="4">
        <is>
          <t>web, Illuminate\Auth\Middleware\Authenticate, Illuminate\Auth\Middleware\EnsureEmailIsVerified, App\Http\Middleware\EnsureAdmin, App\Http\Middleware\LogAdminActivity</t>
        </is>
      </c>
    </row>
    <row r="16" ht="22" customHeight="1">
      <c r="A16" t="inlineStr" s="4">
        <is>
          <t>GET|HEAD</t>
        </is>
      </c>
      <c r="B16" t="inlineStr" s="4">
        <is>
          <t>admin/academy/bookings/{booking}</t>
        </is>
      </c>
      <c r="C16" t="inlineStr" s="4">
        <is>
          <t>admin.academy.bookings.show</t>
        </is>
      </c>
      <c r="D16" t="inlineStr" s="4">
        <is>
          <t>Other / Legacy / Shared</t>
        </is>
      </c>
      <c r="E16" t="inlineStr" s="4">
        <is>
          <t>Admin</t>
        </is>
      </c>
      <c r="F16" t="inlineStr" s="4">
        <is>
          <t>App\Http\Controllers\Admin\Academy\BookingController@show</t>
        </is>
      </c>
      <c r="G16" t="inlineStr" s="4">
        <is>
          <t>web, Illuminate\Auth\Middleware\Authenticate, Illuminate\Auth\Middleware\EnsureEmailIsVerified, App\Http\Middleware\EnsureAdmin, App\Http\Middleware\LogAdminActivity</t>
        </is>
      </c>
    </row>
    <row r="17" ht="22" customHeight="1">
      <c r="A17" t="inlineStr" s="4">
        <is>
          <t>POST</t>
        </is>
      </c>
      <c r="B17" t="inlineStr" s="4">
        <is>
          <t>admin/academy/bookings/{booking}/refund</t>
        </is>
      </c>
      <c r="C17" t="inlineStr" s="4">
        <is>
          <t>admin.academy.bookings.refund</t>
        </is>
      </c>
      <c r="D17" t="inlineStr" s="4">
        <is>
          <t>Other / Legacy / Shared</t>
        </is>
      </c>
      <c r="E17" t="inlineStr" s="4">
        <is>
          <t>Admin</t>
        </is>
      </c>
      <c r="F17" t="inlineStr" s="4">
        <is>
          <t>App\Http\Controllers\Admin\Academy\FinanceController@refund</t>
        </is>
      </c>
      <c r="G17" t="inlineStr" s="4">
        <is>
          <t>web, Illuminate\Auth\Middleware\Authenticate, Illuminate\Auth\Middleware\EnsureEmailIsVerified, App\Http\Middleware\EnsureAdmin, App\Http\Middleware\LogAdminActivity</t>
        </is>
      </c>
    </row>
    <row r="18" ht="22" customHeight="1">
      <c r="A18" t="inlineStr" s="4">
        <is>
          <t>GET|HEAD</t>
        </is>
      </c>
      <c r="B18" t="inlineStr" s="4">
        <is>
          <t>admin/academy/classes</t>
        </is>
      </c>
      <c r="C18" t="inlineStr" s="4">
        <is>
          <t>admin.academy.classes.index</t>
        </is>
      </c>
      <c r="D18" t="inlineStr" s="4">
        <is>
          <t>Other / Legacy / Shared</t>
        </is>
      </c>
      <c r="E18" t="inlineStr" s="4">
        <is>
          <t>Admin</t>
        </is>
      </c>
      <c r="F18" t="inlineStr" s="4">
        <is>
          <t>App\Http\Controllers\Admin\Academy\ClassController@index</t>
        </is>
      </c>
      <c r="G18" t="inlineStr" s="4">
        <is>
          <t>web, Illuminate\Auth\Middleware\Authenticate, Illuminate\Auth\Middleware\EnsureEmailIsVerified, App\Http\Middleware\EnsureAdmin, App\Http\Middleware\LogAdminActivity</t>
        </is>
      </c>
    </row>
    <row r="19" ht="22" customHeight="1">
      <c r="A19" t="inlineStr" s="4">
        <is>
          <t>POST</t>
        </is>
      </c>
      <c r="B19" t="inlineStr" s="4">
        <is>
          <t>admin/academy/classes</t>
        </is>
      </c>
      <c r="C19" t="inlineStr" s="4">
        <is>
          <t>admin.academy.classes.store</t>
        </is>
      </c>
      <c r="D19" t="inlineStr" s="4">
        <is>
          <t>Other / Legacy / Shared</t>
        </is>
      </c>
      <c r="E19" t="inlineStr" s="4">
        <is>
          <t>Admin</t>
        </is>
      </c>
      <c r="F19" t="inlineStr" s="4">
        <is>
          <t>App\Http\Controllers\Admin\Academy\ClassController@store</t>
        </is>
      </c>
      <c r="G19" t="inlineStr" s="4">
        <is>
          <t>web, Illuminate\Auth\Middleware\Authenticate, Illuminate\Auth\Middleware\EnsureEmailIsVerified, App\Http\Middleware\EnsureAdmin, App\Http\Middleware\LogAdminActivity</t>
        </is>
      </c>
    </row>
    <row r="20" ht="22" customHeight="1">
      <c r="A20" t="inlineStr" s="4">
        <is>
          <t>GET|HEAD</t>
        </is>
      </c>
      <c r="B20" t="inlineStr" s="4">
        <is>
          <t>admin/academy/classes/{class}</t>
        </is>
      </c>
      <c r="C20" t="inlineStr" s="4">
        <is>
          <t>admin.academy.classes.show</t>
        </is>
      </c>
      <c r="D20" t="inlineStr" s="4">
        <is>
          <t>Other / Legacy / Shared</t>
        </is>
      </c>
      <c r="E20" t="inlineStr" s="4">
        <is>
          <t>Admin</t>
        </is>
      </c>
      <c r="F20" t="inlineStr" s="4">
        <is>
          <t>App\Http\Controllers\Admin\Academy\ClassController@show</t>
        </is>
      </c>
      <c r="G20" t="inlineStr" s="4">
        <is>
          <t>web, Illuminate\Auth\Middleware\Authenticate, Illuminate\Auth\Middleware\EnsureEmailIsVerified, App\Http\Middleware\EnsureAdmin, App\Http\Middleware\LogAdminActivity</t>
        </is>
      </c>
    </row>
    <row r="21" ht="22" customHeight="1">
      <c r="A21" t="inlineStr" s="4">
        <is>
          <t>PUT</t>
        </is>
      </c>
      <c r="B21" t="inlineStr" s="4">
        <is>
          <t>admin/academy/classes/{class}</t>
        </is>
      </c>
      <c r="C21" t="inlineStr" s="4">
        <is>
          <t>admin.academy.classes.update</t>
        </is>
      </c>
      <c r="D21" t="inlineStr" s="4">
        <is>
          <t>Other / Legacy / Shared</t>
        </is>
      </c>
      <c r="E21" t="inlineStr" s="4">
        <is>
          <t>Admin</t>
        </is>
      </c>
      <c r="F21" t="inlineStr" s="4">
        <is>
          <t>App\Http\Controllers\Admin\Academy\ClassController@update</t>
        </is>
      </c>
      <c r="G21" t="inlineStr" s="4">
        <is>
          <t>web, Illuminate\Auth\Middleware\Authenticate, Illuminate\Auth\Middleware\EnsureEmailIsVerified, App\Http\Middleware\EnsureAdmin, App\Http\Middleware\LogAdminActivity</t>
        </is>
      </c>
    </row>
    <row r="22" ht="22" customHeight="1">
      <c r="A22" t="inlineStr" s="4">
        <is>
          <t>DELETE</t>
        </is>
      </c>
      <c r="B22" t="inlineStr" s="4">
        <is>
          <t>admin/academy/classes/{class}</t>
        </is>
      </c>
      <c r="C22" t="inlineStr" s="4">
        <is>
          <t>admin.academy.classes.destroy</t>
        </is>
      </c>
      <c r="D22" t="inlineStr" s="4">
        <is>
          <t>Other / Legacy / Shared</t>
        </is>
      </c>
      <c r="E22" t="inlineStr" s="4">
        <is>
          <t>Admin</t>
        </is>
      </c>
      <c r="F22" t="inlineStr" s="4">
        <is>
          <t>App\Http\Controllers\Admin\Academy\ClassController@destroy</t>
        </is>
      </c>
      <c r="G22" t="inlineStr" s="4">
        <is>
          <t>web, Illuminate\Auth\Middleware\Authenticate, Illuminate\Auth\Middleware\EnsureEmailIsVerified, App\Http\Middleware\EnsureAdmin, App\Http\Middleware\LogAdminActivity</t>
        </is>
      </c>
    </row>
    <row r="23" ht="22" customHeight="1">
      <c r="A23" t="inlineStr" s="4">
        <is>
          <t>DELETE</t>
        </is>
      </c>
      <c r="B23" t="inlineStr" s="4">
        <is>
          <t>admin/academy/classes/{class}/images/{image}</t>
        </is>
      </c>
      <c r="C23" t="inlineStr" s="4">
        <is>
          <t>admin.academy.classes.images.destroy</t>
        </is>
      </c>
      <c r="D23" t="inlineStr" s="4">
        <is>
          <t>Other / Legacy / Shared</t>
        </is>
      </c>
      <c r="E23" t="inlineStr" s="4">
        <is>
          <t>Admin</t>
        </is>
      </c>
      <c r="F23" t="inlineStr" s="4">
        <is>
          <t>App\Http\Controllers\Admin\Academy\ClassController@destroyImage</t>
        </is>
      </c>
      <c r="G23" t="inlineStr" s="4">
        <is>
          <t>web, Illuminate\Auth\Middleware\Authenticate, Illuminate\Auth\Middleware\EnsureEmailIsVerified, App\Http\Middleware\EnsureAdmin, App\Http\Middleware\LogAdminActivity</t>
        </is>
      </c>
    </row>
    <row r="24" ht="22" customHeight="1">
      <c r="A24" t="inlineStr" s="4">
        <is>
          <t>GET|HEAD</t>
        </is>
      </c>
      <c r="B24" t="inlineStr" s="4">
        <is>
          <t>admin/academy/finance</t>
        </is>
      </c>
      <c r="C24" t="inlineStr" s="4">
        <is>
          <t>admin.academy.finance.index</t>
        </is>
      </c>
      <c r="D24" t="inlineStr" s="4">
        <is>
          <t>Other / Legacy / Shared</t>
        </is>
      </c>
      <c r="E24" t="inlineStr" s="4">
        <is>
          <t>Admin</t>
        </is>
      </c>
      <c r="F24" t="inlineStr" s="4">
        <is>
          <t>App\Http\Controllers\Admin\Academy\FinanceController@index</t>
        </is>
      </c>
      <c r="G24" t="inlineStr" s="4">
        <is>
          <t>web, Illuminate\Auth\Middleware\Authenticate, Illuminate\Auth\Middleware\EnsureEmailIsVerified, App\Http\Middleware\EnsureAdmin, App\Http\Middleware\LogAdminActivity</t>
        </is>
      </c>
    </row>
    <row r="25" ht="22" customHeight="1">
      <c r="A25" t="inlineStr" s="4">
        <is>
          <t>GET|HEAD</t>
        </is>
      </c>
      <c r="B25" t="inlineStr" s="4">
        <is>
          <t>admin/academy/reports</t>
        </is>
      </c>
      <c r="C25" t="inlineStr" s="4">
        <is>
          <t>admin.academy.reports.index</t>
        </is>
      </c>
      <c r="D25" t="inlineStr" s="4">
        <is>
          <t>Other / Legacy / Shared</t>
        </is>
      </c>
      <c r="E25" t="inlineStr" s="4">
        <is>
          <t>Admin</t>
        </is>
      </c>
      <c r="F25" t="inlineStr" s="4">
        <is>
          <t>App\Http\Controllers\Admin\Academy\ReportController@index</t>
        </is>
      </c>
      <c r="G25" t="inlineStr" s="4">
        <is>
          <t>web, Illuminate\Auth\Middleware\Authenticate, Illuminate\Auth\Middleware\EnsureEmailIsVerified, App\Http\Middleware\EnsureAdmin, App\Http\Middleware\LogAdminActivity</t>
        </is>
      </c>
    </row>
    <row r="26" ht="22" customHeight="1">
      <c r="A26" t="inlineStr" s="4">
        <is>
          <t>GET|HEAD</t>
        </is>
      </c>
      <c r="B26" t="inlineStr" s="4">
        <is>
          <t>admin/academy/scans</t>
        </is>
      </c>
      <c r="C26" t="inlineStr" s="4">
        <is>
          <t>admin.academy.scans.index</t>
        </is>
      </c>
      <c r="D26" t="inlineStr" s="4">
        <is>
          <t>Other / Legacy / Shared</t>
        </is>
      </c>
      <c r="E26" t="inlineStr" s="4">
        <is>
          <t>Admin</t>
        </is>
      </c>
      <c r="F26" t="inlineStr" s="4">
        <is>
          <t>App\Http\Controllers\Admin\Academy\ScanController@index</t>
        </is>
      </c>
      <c r="G26" t="inlineStr" s="4">
        <is>
          <t>web, Illuminate\Auth\Middleware\Authenticate, Illuminate\Auth\Middleware\EnsureEmailIsVerified, App\Http\Middleware\EnsureAdmin, App\Http\Middleware\LogAdminActivity</t>
        </is>
      </c>
    </row>
    <row r="27" ht="22" customHeight="1">
      <c r="A27" t="inlineStr" s="4">
        <is>
          <t>POST</t>
        </is>
      </c>
      <c r="B27" t="inlineStr" s="4">
        <is>
          <t>admin/academy/scans</t>
        </is>
      </c>
      <c r="C27" t="inlineStr" s="4">
        <is>
          <t>admin.academy.scans.store</t>
        </is>
      </c>
      <c r="D27" t="inlineStr" s="4">
        <is>
          <t>Other / Legacy / Shared</t>
        </is>
      </c>
      <c r="E27" t="inlineStr" s="4">
        <is>
          <t>Admin</t>
        </is>
      </c>
      <c r="F27" t="inlineStr" s="4">
        <is>
          <t>App\Http\Controllers\Admin\Academy\ScanController@store</t>
        </is>
      </c>
      <c r="G27" t="inlineStr" s="4">
        <is>
          <t>web, Illuminate\Auth\Middleware\Authenticate, Illuminate\Auth\Middleware\EnsureEmailIsVerified, App\Http\Middleware\EnsureAdmin, App\Http\Middleware\LogAdminActivity</t>
        </is>
      </c>
    </row>
    <row r="28" ht="22" customHeight="1">
      <c r="A28" t="inlineStr" s="4">
        <is>
          <t>GET|HEAD</t>
        </is>
      </c>
      <c r="B28" t="inlineStr" s="4">
        <is>
          <t>admin/academy/system/audit</t>
        </is>
      </c>
      <c r="C28" t="inlineStr" s="4">
        <is>
          <t>admin.academy.audit.index</t>
        </is>
      </c>
      <c r="D28" t="inlineStr" s="4">
        <is>
          <t>Other / Legacy / Shared</t>
        </is>
      </c>
      <c r="E28" t="inlineStr" s="4">
        <is>
          <t>Admin</t>
        </is>
      </c>
      <c r="F28" t="inlineStr" s="4">
        <is>
          <t>App\Http\Controllers\Admin\Academy\AuditController@index</t>
        </is>
      </c>
      <c r="G28" t="inlineStr" s="4">
        <is>
          <t>web, Illuminate\Auth\Middleware\Authenticate, Illuminate\Auth\Middleware\EnsureEmailIsVerified, App\Http\Middleware\EnsureAdmin, App\Http\Middleware\LogAdminActivity</t>
        </is>
      </c>
    </row>
    <row r="29" ht="22" customHeight="1">
      <c r="A29" t="inlineStr" s="4">
        <is>
          <t>GET|HEAD</t>
        </is>
      </c>
      <c r="B29" t="inlineStr" s="4">
        <is>
          <t>admin/academy/system/settings</t>
        </is>
      </c>
      <c r="C29" t="inlineStr" s="4">
        <is>
          <t>admin.academy.settings.index</t>
        </is>
      </c>
      <c r="D29" t="inlineStr" s="4">
        <is>
          <t>Other / Legacy / Shared</t>
        </is>
      </c>
      <c r="E29" t="inlineStr" s="4">
        <is>
          <t>Admin</t>
        </is>
      </c>
      <c r="F29" t="inlineStr" s="4">
        <is>
          <t>App\Http\Controllers\Admin\Academy\SettingController@index</t>
        </is>
      </c>
      <c r="G29" t="inlineStr" s="4">
        <is>
          <t>web, Illuminate\Auth\Middleware\Authenticate, Illuminate\Auth\Middleware\EnsureEmailIsVerified, App\Http\Middleware\EnsureAdmin, App\Http\Middleware\LogAdminActivity</t>
        </is>
      </c>
    </row>
    <row r="30" ht="22" customHeight="1">
      <c r="A30" t="inlineStr" s="4">
        <is>
          <t>POST</t>
        </is>
      </c>
      <c r="B30" t="inlineStr" s="4">
        <is>
          <t>admin/academy/system/settings</t>
        </is>
      </c>
      <c r="C30" t="inlineStr" s="4">
        <is>
          <t>admin.academy.settings.update</t>
        </is>
      </c>
      <c r="D30" t="inlineStr" s="4">
        <is>
          <t>Other / Legacy / Shared</t>
        </is>
      </c>
      <c r="E30" t="inlineStr" s="4">
        <is>
          <t>Admin</t>
        </is>
      </c>
      <c r="F30" t="inlineStr" s="4">
        <is>
          <t>App\Http\Controllers\Admin\Academy\SettingController@update</t>
        </is>
      </c>
      <c r="G30" t="inlineStr" s="4">
        <is>
          <t>web, Illuminate\Auth\Middleware\Authenticate, Illuminate\Auth\Middleware\EnsureEmailIsVerified, App\Http\Middleware\EnsureAdmin, App\Http\Middleware\LogAdminActivity</t>
        </is>
      </c>
    </row>
    <row r="31" ht="22" customHeight="1">
      <c r="A31" t="inlineStr" s="4">
        <is>
          <t>GET|HEAD</t>
        </is>
      </c>
      <c r="B31" t="inlineStr" s="4">
        <is>
          <t>admin/academy/tickets</t>
        </is>
      </c>
      <c r="C31" t="inlineStr" s="4">
        <is>
          <t>admin.academy.tickets.index</t>
        </is>
      </c>
      <c r="D31" t="inlineStr" s="4">
        <is>
          <t>Other / Legacy / Shared</t>
        </is>
      </c>
      <c r="E31" t="inlineStr" s="4">
        <is>
          <t>Admin</t>
        </is>
      </c>
      <c r="F31" t="inlineStr" s="4">
        <is>
          <t>App\Http\Controllers\Admin\Academy\TicketController@index</t>
        </is>
      </c>
      <c r="G31" t="inlineStr" s="4">
        <is>
          <t>web, Illuminate\Auth\Middleware\Authenticate, Illuminate\Auth\Middleware\EnsureEmailIsVerified, App\Http\Middleware\EnsureAdmin, App\Http\Middleware\LogAdminActivity</t>
        </is>
      </c>
    </row>
    <row r="32" ht="22" customHeight="1">
      <c r="A32" t="inlineStr" s="4">
        <is>
          <t>POST</t>
        </is>
      </c>
      <c r="B32" t="inlineStr" s="4">
        <is>
          <t>admin/academy/tickets</t>
        </is>
      </c>
      <c r="C32" t="inlineStr" s="4">
        <is>
          <t>admin.academy.tickets.store</t>
        </is>
      </c>
      <c r="D32" t="inlineStr" s="4">
        <is>
          <t>Other / Legacy / Shared</t>
        </is>
      </c>
      <c r="E32" t="inlineStr" s="4">
        <is>
          <t>Admin</t>
        </is>
      </c>
      <c r="F32" t="inlineStr" s="4">
        <is>
          <t>App\Http\Controllers\Admin\Academy\TicketController@store</t>
        </is>
      </c>
      <c r="G32" t="inlineStr" s="4">
        <is>
          <t>web, Illuminate\Auth\Middleware\Authenticate, Illuminate\Auth\Middleware\EnsureEmailIsVerified, App\Http\Middleware\EnsureAdmin, App\Http\Middleware\LogAdminActivity</t>
        </is>
      </c>
    </row>
    <row r="33" ht="22" customHeight="1">
      <c r="A33" t="inlineStr" s="4">
        <is>
          <t>PUT</t>
        </is>
      </c>
      <c r="B33" t="inlineStr" s="4">
        <is>
          <t>admin/academy/tickets/{ticket}</t>
        </is>
      </c>
      <c r="C33" t="inlineStr" s="4">
        <is>
          <t>admin.academy.tickets.update</t>
        </is>
      </c>
      <c r="D33" t="inlineStr" s="4">
        <is>
          <t>Other / Legacy / Shared</t>
        </is>
      </c>
      <c r="E33" t="inlineStr" s="4">
        <is>
          <t>Admin</t>
        </is>
      </c>
      <c r="F33" t="inlineStr" s="4">
        <is>
          <t>App\Http\Controllers\Admin\Academy\TicketController@update</t>
        </is>
      </c>
      <c r="G33" t="inlineStr" s="4">
        <is>
          <t>web, Illuminate\Auth\Middleware\Authenticate, Illuminate\Auth\Middleware\EnsureEmailIsVerified, App\Http\Middleware\EnsureAdmin, App\Http\Middleware\LogAdminActivity</t>
        </is>
      </c>
    </row>
    <row r="34" ht="22" customHeight="1">
      <c r="A34" t="inlineStr" s="4">
        <is>
          <t>DELETE</t>
        </is>
      </c>
      <c r="B34" t="inlineStr" s="4">
        <is>
          <t>admin/academy/tickets/{ticket}</t>
        </is>
      </c>
      <c r="C34" t="inlineStr" s="4">
        <is>
          <t>admin.academy.tickets.destroy</t>
        </is>
      </c>
      <c r="D34" t="inlineStr" s="4">
        <is>
          <t>Other / Legacy / Shared</t>
        </is>
      </c>
      <c r="E34" t="inlineStr" s="4">
        <is>
          <t>Admin</t>
        </is>
      </c>
      <c r="F34" t="inlineStr" s="4">
        <is>
          <t>App\Http\Controllers\Admin\Academy\TicketController@destroy</t>
        </is>
      </c>
      <c r="G34" t="inlineStr" s="4">
        <is>
          <t>web, Illuminate\Auth\Middleware\Authenticate, Illuminate\Auth\Middleware\EnsureEmailIsVerified, App\Http\Middleware\EnsureAdmin, App\Http\Middleware\LogAdminActivity</t>
        </is>
      </c>
    </row>
    <row r="35" ht="22" customHeight="1">
      <c r="A35" t="inlineStr" s="4">
        <is>
          <t>GET|HEAD</t>
        </is>
      </c>
      <c r="B35" t="inlineStr" s="4">
        <is>
          <t>admin/blog/categories</t>
        </is>
      </c>
      <c r="C35" t="inlineStr" s="4">
        <is>
          <t>admin.blog.categories.index</t>
        </is>
      </c>
      <c r="D35" t="inlineStr" s="4">
        <is>
          <t>Other / Legacy / Shared</t>
        </is>
      </c>
      <c r="E35" t="inlineStr" s="4">
        <is>
          <t>Admin</t>
        </is>
      </c>
      <c r="F35" t="inlineStr" s="4">
        <is>
          <t>Closure</t>
        </is>
      </c>
      <c r="G35" t="inlineStr" s="4">
        <is>
          <t>web, Illuminate\Auth\Middleware\Authenticate, Illuminate\Auth\Middleware\EnsureEmailIsVerified, App\Http\Middleware\EnsureAdmin, App\Http\Middleware\LogAdminActivity</t>
        </is>
      </c>
    </row>
    <row r="36" ht="22" customHeight="1">
      <c r="A36" t="inlineStr" s="4">
        <is>
          <t>POST</t>
        </is>
      </c>
      <c r="B36" t="inlineStr" s="4">
        <is>
          <t>admin/blog/categories</t>
        </is>
      </c>
      <c r="C36" t="inlineStr" s="4">
        <is>
          <t>admin.blog.categories.store</t>
        </is>
      </c>
      <c r="D36" t="inlineStr" s="4">
        <is>
          <t>Other / Legacy / Shared</t>
        </is>
      </c>
      <c r="E36" t="inlineStr" s="4">
        <is>
          <t>Admin</t>
        </is>
      </c>
      <c r="F36" t="inlineStr" s="4">
        <is>
          <t>Closure</t>
        </is>
      </c>
      <c r="G36" t="inlineStr" s="4">
        <is>
          <t>web, Illuminate\Auth\Middleware\Authenticate, Illuminate\Auth\Middleware\EnsureEmailIsVerified, App\Http\Middleware\EnsureAdmin, App\Http\Middleware\LogAdminActivity</t>
        </is>
      </c>
    </row>
    <row r="37" ht="22" customHeight="1">
      <c r="A37" t="inlineStr" s="4">
        <is>
          <t>PUT</t>
        </is>
      </c>
      <c r="B37" t="inlineStr" s="4">
        <is>
          <t>admin/blog/categories/{category}</t>
        </is>
      </c>
      <c r="C37" t="inlineStr" s="4">
        <is>
          <t>admin.blog.categories.update</t>
        </is>
      </c>
      <c r="D37" t="inlineStr" s="4">
        <is>
          <t>Other / Legacy / Shared</t>
        </is>
      </c>
      <c r="E37" t="inlineStr" s="4">
        <is>
          <t>Admin</t>
        </is>
      </c>
      <c r="F37" t="inlineStr" s="4">
        <is>
          <t>Closure</t>
        </is>
      </c>
      <c r="G37" t="inlineStr" s="4">
        <is>
          <t>web, Illuminate\Auth\Middleware\Authenticate, Illuminate\Auth\Middleware\EnsureEmailIsVerified, App\Http\Middleware\EnsureAdmin, App\Http\Middleware\LogAdminActivity</t>
        </is>
      </c>
    </row>
    <row r="38" ht="22" customHeight="1">
      <c r="A38" t="inlineStr" s="4">
        <is>
          <t>DELETE</t>
        </is>
      </c>
      <c r="B38" t="inlineStr" s="4">
        <is>
          <t>admin/blog/categories/{category}</t>
        </is>
      </c>
      <c r="C38" t="inlineStr" s="4">
        <is>
          <t>admin.blog.categories.destroy</t>
        </is>
      </c>
      <c r="D38" t="inlineStr" s="4">
        <is>
          <t>Other / Legacy / Shared</t>
        </is>
      </c>
      <c r="E38" t="inlineStr" s="4">
        <is>
          <t>Admin</t>
        </is>
      </c>
      <c r="F38" t="inlineStr" s="4">
        <is>
          <t>Closure</t>
        </is>
      </c>
      <c r="G38" t="inlineStr" s="4">
        <is>
          <t>web, Illuminate\Auth\Middleware\Authenticate, Illuminate\Auth\Middleware\EnsureEmailIsVerified, App\Http\Middleware\EnsureAdmin, App\Http\Middleware\LogAdminActivity</t>
        </is>
      </c>
    </row>
    <row r="39" ht="22" customHeight="1">
      <c r="A39" t="inlineStr" s="4">
        <is>
          <t>GET|HEAD</t>
        </is>
      </c>
      <c r="B39" t="inlineStr" s="4">
        <is>
          <t>admin/blog/posts</t>
        </is>
      </c>
      <c r="C39" t="inlineStr" s="4">
        <is>
          <t>admin.blog.posts.index</t>
        </is>
      </c>
      <c r="D39" t="inlineStr" s="4">
        <is>
          <t>Other / Legacy / Shared</t>
        </is>
      </c>
      <c r="E39" t="inlineStr" s="4">
        <is>
          <t>Admin</t>
        </is>
      </c>
      <c r="F39" t="inlineStr" s="4">
        <is>
          <t>App\Http\Controllers\Admin\BlogPostController@index</t>
        </is>
      </c>
      <c r="G39" t="inlineStr" s="4">
        <is>
          <t>web, Illuminate\Auth\Middleware\Authenticate, Illuminate\Auth\Middleware\EnsureEmailIsVerified, App\Http\Middleware\EnsureAdmin, App\Http\Middleware\LogAdminActivity</t>
        </is>
      </c>
    </row>
    <row r="40" ht="22" customHeight="1">
      <c r="A40" t="inlineStr" s="4">
        <is>
          <t>POST</t>
        </is>
      </c>
      <c r="B40" t="inlineStr" s="4">
        <is>
          <t>admin/blog/posts</t>
        </is>
      </c>
      <c r="C40" t="inlineStr" s="4">
        <is>
          <t>admin.blog.posts.store</t>
        </is>
      </c>
      <c r="D40" t="inlineStr" s="4">
        <is>
          <t>Other / Legacy / Shared</t>
        </is>
      </c>
      <c r="E40" t="inlineStr" s="4">
        <is>
          <t>Admin</t>
        </is>
      </c>
      <c r="F40" t="inlineStr" s="4">
        <is>
          <t>App\Http\Controllers\Admin\BlogPostController@store</t>
        </is>
      </c>
      <c r="G40" t="inlineStr" s="4">
        <is>
          <t>web, Illuminate\Auth\Middleware\Authenticate, Illuminate\Auth\Middleware\EnsureEmailIsVerified, App\Http\Middleware\EnsureAdmin, App\Http\Middleware\LogAdminActivity</t>
        </is>
      </c>
    </row>
    <row r="41" ht="22" customHeight="1">
      <c r="A41" t="inlineStr" s="4">
        <is>
          <t>GET|HEAD</t>
        </is>
      </c>
      <c r="B41" t="inlineStr" s="4">
        <is>
          <t>admin/blog/posts/create</t>
        </is>
      </c>
      <c r="C41" t="inlineStr" s="4">
        <is>
          <t>admin.blog.posts.create</t>
        </is>
      </c>
      <c r="D41" t="inlineStr" s="4">
        <is>
          <t>Other / Legacy / Shared</t>
        </is>
      </c>
      <c r="E41" t="inlineStr" s="4">
        <is>
          <t>Admin</t>
        </is>
      </c>
      <c r="F41" t="inlineStr" s="4">
        <is>
          <t>App\Http\Controllers\Admin\BlogPostController@create</t>
        </is>
      </c>
      <c r="G41" t="inlineStr" s="4">
        <is>
          <t>web, Illuminate\Auth\Middleware\Authenticate, Illuminate\Auth\Middleware\EnsureEmailIsVerified, App\Http\Middleware\EnsureAdmin, App\Http\Middleware\LogAdminActivity</t>
        </is>
      </c>
    </row>
    <row r="42" ht="22" customHeight="1">
      <c r="A42" t="inlineStr" s="4">
        <is>
          <t>PUT</t>
        </is>
      </c>
      <c r="B42" t="inlineStr" s="4">
        <is>
          <t>admin/blog/posts/{post}</t>
        </is>
      </c>
      <c r="C42" t="inlineStr" s="4">
        <is>
          <t>admin.blog.posts.update</t>
        </is>
      </c>
      <c r="D42" t="inlineStr" s="4">
        <is>
          <t>Other / Legacy / Shared</t>
        </is>
      </c>
      <c r="E42" t="inlineStr" s="4">
        <is>
          <t>Admin</t>
        </is>
      </c>
      <c r="F42" t="inlineStr" s="4">
        <is>
          <t>App\Http\Controllers\Admin\BlogPostController@update</t>
        </is>
      </c>
      <c r="G42" t="inlineStr" s="4">
        <is>
          <t>web, Illuminate\Auth\Middleware\Authenticate, Illuminate\Auth\Middleware\EnsureEmailIsVerified, App\Http\Middleware\EnsureAdmin, App\Http\Middleware\LogAdminActivity</t>
        </is>
      </c>
    </row>
    <row r="43" ht="22" customHeight="1">
      <c r="A43" t="inlineStr" s="4">
        <is>
          <t>DELETE</t>
        </is>
      </c>
      <c r="B43" t="inlineStr" s="4">
        <is>
          <t>admin/blog/posts/{post}</t>
        </is>
      </c>
      <c r="C43" t="inlineStr" s="4">
        <is>
          <t>admin.blog.posts.destroy</t>
        </is>
      </c>
      <c r="D43" t="inlineStr" s="4">
        <is>
          <t>Other / Legacy / Shared</t>
        </is>
      </c>
      <c r="E43" t="inlineStr" s="4">
        <is>
          <t>Admin</t>
        </is>
      </c>
      <c r="F43" t="inlineStr" s="4">
        <is>
          <t>App\Http\Controllers\Admin\BlogPostController@destroy</t>
        </is>
      </c>
      <c r="G43" t="inlineStr" s="4">
        <is>
          <t>web, Illuminate\Auth\Middleware\Authenticate, Illuminate\Auth\Middleware\EnsureEmailIsVerified, App\Http\Middleware\EnsureAdmin, App\Http\Middleware\LogAdminActivity</t>
        </is>
      </c>
    </row>
    <row r="44" ht="22" customHeight="1">
      <c r="A44" t="inlineStr" s="4">
        <is>
          <t>GET|HEAD</t>
        </is>
      </c>
      <c r="B44" t="inlineStr" s="4">
        <is>
          <t>admin/blog/posts/{post}/edit</t>
        </is>
      </c>
      <c r="C44" t="inlineStr" s="4">
        <is>
          <t>admin.blog.posts.edit</t>
        </is>
      </c>
      <c r="D44" t="inlineStr" s="4">
        <is>
          <t>Other / Legacy / Shared</t>
        </is>
      </c>
      <c r="E44" t="inlineStr" s="4">
        <is>
          <t>Admin</t>
        </is>
      </c>
      <c r="F44" t="inlineStr" s="4">
        <is>
          <t>App\Http\Controllers\Admin\BlogPostController@edit</t>
        </is>
      </c>
      <c r="G44" t="inlineStr" s="4">
        <is>
          <t>web, Illuminate\Auth\Middleware\Authenticate, Illuminate\Auth\Middleware\EnsureEmailIsVerified, App\Http\Middleware\EnsureAdmin, App\Http\Middleware\LogAdminActivity</t>
        </is>
      </c>
    </row>
    <row r="45" ht="22" customHeight="1">
      <c r="A45" t="inlineStr" s="4">
        <is>
          <t>GET|HEAD</t>
        </is>
      </c>
      <c r="B45" t="inlineStr" s="4">
        <is>
          <t>admin/blog/tags</t>
        </is>
      </c>
      <c r="C45" t="inlineStr" s="4">
        <is>
          <t>admin.blog.tags.index</t>
        </is>
      </c>
      <c r="D45" t="inlineStr" s="4">
        <is>
          <t>Other / Legacy / Shared</t>
        </is>
      </c>
      <c r="E45" t="inlineStr" s="4">
        <is>
          <t>Admin</t>
        </is>
      </c>
      <c r="F45" t="inlineStr" s="4">
        <is>
          <t>App\Http\Controllers\Admin\BlogTagController@index</t>
        </is>
      </c>
      <c r="G45" t="inlineStr" s="4">
        <is>
          <t>web, Illuminate\Auth\Middleware\Authenticate, Illuminate\Auth\Middleware\EnsureEmailIsVerified, App\Http\Middleware\EnsureAdmin, App\Http\Middleware\LogAdminActivity</t>
        </is>
      </c>
    </row>
    <row r="46" ht="22" customHeight="1">
      <c r="A46" t="inlineStr" s="4">
        <is>
          <t>POST</t>
        </is>
      </c>
      <c r="B46" t="inlineStr" s="4">
        <is>
          <t>admin/blog/tags</t>
        </is>
      </c>
      <c r="C46" t="inlineStr" s="4">
        <is>
          <t>admin.blog.tags.store</t>
        </is>
      </c>
      <c r="D46" t="inlineStr" s="4">
        <is>
          <t>Other / Legacy / Shared</t>
        </is>
      </c>
      <c r="E46" t="inlineStr" s="4">
        <is>
          <t>Admin</t>
        </is>
      </c>
      <c r="F46" t="inlineStr" s="4">
        <is>
          <t>App\Http\Controllers\Admin\BlogTagController@store</t>
        </is>
      </c>
      <c r="G46" t="inlineStr" s="4">
        <is>
          <t>web, Illuminate\Auth\Middleware\Authenticate, Illuminate\Auth\Middleware\EnsureEmailIsVerified, App\Http\Middleware\EnsureAdmin, App\Http\Middleware\LogAdminActivity</t>
        </is>
      </c>
    </row>
    <row r="47" ht="22" customHeight="1">
      <c r="A47" t="inlineStr" s="4">
        <is>
          <t>PUT</t>
        </is>
      </c>
      <c r="B47" t="inlineStr" s="4">
        <is>
          <t>admin/blog/tags/{tag}</t>
        </is>
      </c>
      <c r="C47" t="inlineStr" s="4">
        <is>
          <t>admin.blog.tags.update</t>
        </is>
      </c>
      <c r="D47" t="inlineStr" s="4">
        <is>
          <t>Other / Legacy / Shared</t>
        </is>
      </c>
      <c r="E47" t="inlineStr" s="4">
        <is>
          <t>Admin</t>
        </is>
      </c>
      <c r="F47" t="inlineStr" s="4">
        <is>
          <t>App\Http\Controllers\Admin\BlogTagController@update</t>
        </is>
      </c>
      <c r="G47" t="inlineStr" s="4">
        <is>
          <t>web, Illuminate\Auth\Middleware\Authenticate, Illuminate\Auth\Middleware\EnsureEmailIsVerified, App\Http\Middleware\EnsureAdmin, App\Http\Middleware\LogAdminActivity</t>
        </is>
      </c>
    </row>
    <row r="48" ht="22" customHeight="1">
      <c r="A48" t="inlineStr" s="4">
        <is>
          <t>DELETE</t>
        </is>
      </c>
      <c r="B48" t="inlineStr" s="4">
        <is>
          <t>admin/blog/tags/{tag}</t>
        </is>
      </c>
      <c r="C48" t="inlineStr" s="4">
        <is>
          <t>admin.blog.tags.destroy</t>
        </is>
      </c>
      <c r="D48" t="inlineStr" s="4">
        <is>
          <t>Other / Legacy / Shared</t>
        </is>
      </c>
      <c r="E48" t="inlineStr" s="4">
        <is>
          <t>Admin</t>
        </is>
      </c>
      <c r="F48" t="inlineStr" s="4">
        <is>
          <t>App\Http\Controllers\Admin\BlogTagController@destroy</t>
        </is>
      </c>
      <c r="G48" t="inlineStr" s="4">
        <is>
          <t>web, Illuminate\Auth\Middleware\Authenticate, Illuminate\Auth\Middleware\EnsureEmailIsVerified, App\Http\Middleware\EnsureAdmin, App\Http\Middleware\LogAdminActivity</t>
        </is>
      </c>
    </row>
    <row r="49" ht="22" customHeight="1">
      <c r="A49" t="inlineStr" s="4">
        <is>
          <t>GET|HEAD</t>
        </is>
      </c>
      <c r="B49" t="inlineStr" s="4">
        <is>
          <t>admin/bookings</t>
        </is>
      </c>
      <c r="C49" t="inlineStr" s="4">
        <is>
          <t>admin.bookings.index</t>
        </is>
      </c>
      <c r="D49" t="inlineStr" s="4">
        <is>
          <t>Other / Legacy / Shared</t>
        </is>
      </c>
      <c r="E49" t="inlineStr" s="4">
        <is>
          <t>Admin</t>
        </is>
      </c>
      <c r="F49" t="inlineStr" s="4">
        <is>
          <t>App\Http\Controllers\Admin\BookingController@index</t>
        </is>
      </c>
      <c r="G49" t="inlineStr" s="4">
        <is>
          <t>web, Illuminate\Auth\Middleware\Authenticate, Illuminate\Auth\Middleware\EnsureEmailIsVerified, App\Http\Middleware\EnsureAdmin, App\Http\Middleware\LogAdminActivity</t>
        </is>
      </c>
    </row>
    <row r="50" ht="22" customHeight="1">
      <c r="A50" t="inlineStr" s="4">
        <is>
          <t>GET|HEAD</t>
        </is>
      </c>
      <c r="B50" t="inlineStr" s="4">
        <is>
          <t>admin/bookings/{booking}</t>
        </is>
      </c>
      <c r="C50" t="inlineStr" s="4">
        <is>
          <t>admin.bookings.show</t>
        </is>
      </c>
      <c r="D50" t="inlineStr" s="4">
        <is>
          <t>Other / Legacy / Shared</t>
        </is>
      </c>
      <c r="E50" t="inlineStr" s="4">
        <is>
          <t>Admin</t>
        </is>
      </c>
      <c r="F50" t="inlineStr" s="4">
        <is>
          <t>App\Http\Controllers\Admin\BookingController@show</t>
        </is>
      </c>
      <c r="G50" t="inlineStr" s="4">
        <is>
          <t>web, Illuminate\Auth\Middleware\Authenticate, Illuminate\Auth\Middleware\EnsureEmailIsVerified, App\Http\Middleware\EnsureAdmin, App\Http\Middleware\LogAdminActivity</t>
        </is>
      </c>
    </row>
    <row r="51" ht="22" customHeight="1">
      <c r="A51" t="inlineStr" s="4">
        <is>
          <t>POST</t>
        </is>
      </c>
      <c r="B51" t="inlineStr" s="4">
        <is>
          <t>admin/bookings/{booking}/cancel</t>
        </is>
      </c>
      <c r="C51" t="inlineStr" s="4">
        <is>
          <t>admin.bookings.cancel</t>
        </is>
      </c>
      <c r="D51" t="inlineStr" s="4">
        <is>
          <t>Other / Legacy / Shared</t>
        </is>
      </c>
      <c r="E51" t="inlineStr" s="4">
        <is>
          <t>Admin</t>
        </is>
      </c>
      <c r="F51" t="inlineStr" s="4">
        <is>
          <t>App\Http\Controllers\Admin\BookingController@cancel</t>
        </is>
      </c>
      <c r="G51" t="inlineStr" s="4">
        <is>
          <t>web, Illuminate\Auth\Middleware\Authenticate, Illuminate\Auth\Middleware\EnsureEmailIsVerified, App\Http\Middleware\EnsureAdmin, App\Http\Middleware\LogAdminActivity</t>
        </is>
      </c>
    </row>
    <row r="52" ht="22" customHeight="1">
      <c r="A52" t="inlineStr" s="4">
        <is>
          <t>POST</t>
        </is>
      </c>
      <c r="B52" t="inlineStr" s="4">
        <is>
          <t>admin/bookings/{booking}/dispute</t>
        </is>
      </c>
      <c r="C52" t="inlineStr" s="4">
        <is>
          <t>admin.bookings.dispute</t>
        </is>
      </c>
      <c r="D52" t="inlineStr" s="4">
        <is>
          <t>Other / Legacy / Shared</t>
        </is>
      </c>
      <c r="E52" t="inlineStr" s="4">
        <is>
          <t>Admin</t>
        </is>
      </c>
      <c r="F52" t="inlineStr" s="4">
        <is>
          <t>App\Http\Controllers\Admin\BookingController@dispute</t>
        </is>
      </c>
      <c r="G52" t="inlineStr" s="4">
        <is>
          <t>web, Illuminate\Auth\Middleware\Authenticate, Illuminate\Auth\Middleware\EnsureEmailIsVerified, App\Http\Middleware\EnsureAdmin, App\Http\Middleware\LogAdminActivity</t>
        </is>
      </c>
    </row>
    <row r="53" ht="22" customHeight="1">
      <c r="A53" t="inlineStr" s="4">
        <is>
          <t>POST</t>
        </is>
      </c>
      <c r="B53" t="inlineStr" s="4">
        <is>
          <t>admin/bookings/{booking}/refund</t>
        </is>
      </c>
      <c r="C53" t="inlineStr" s="4">
        <is>
          <t>admin.bookings.refund</t>
        </is>
      </c>
      <c r="D53" t="inlineStr" s="4">
        <is>
          <t>Other / Legacy / Shared</t>
        </is>
      </c>
      <c r="E53" t="inlineStr" s="4">
        <is>
          <t>Admin</t>
        </is>
      </c>
      <c r="F53" t="inlineStr" s="4">
        <is>
          <t>App\Http\Controllers\Admin\BookingController@refund</t>
        </is>
      </c>
      <c r="G53" t="inlineStr" s="4">
        <is>
          <t>web, Illuminate\Auth\Middleware\Authenticate, Illuminate\Auth\Middleware\EnsureEmailIsVerified, App\Http\Middleware\EnsureAdmin, App\Http\Middleware\LogAdminActivity</t>
        </is>
      </c>
    </row>
    <row r="54" ht="22" customHeight="1">
      <c r="A54" t="inlineStr" s="4">
        <is>
          <t>GET|HEAD</t>
        </is>
      </c>
      <c r="B54" t="inlineStr" s="4">
        <is>
          <t>admin/chat</t>
        </is>
      </c>
      <c r="C54" t="inlineStr" s="4">
        <is>
          <t>admin.chat.index</t>
        </is>
      </c>
      <c r="D54" t="inlineStr" s="4">
        <is>
          <t>Other / Legacy / Shared</t>
        </is>
      </c>
      <c r="E54" t="inlineStr" s="4">
        <is>
          <t>Admin</t>
        </is>
      </c>
      <c r="F54" t="inlineStr" s="4">
        <is>
          <t>App\Http\Controllers\Admin\ChatController@index</t>
        </is>
      </c>
      <c r="G54" t="inlineStr" s="4">
        <is>
          <t>web, Illuminate\Auth\Middleware\Authenticate, Illuminate\Auth\Middleware\EnsureEmailIsVerified, App\Http\Middleware\EnsureAdmin, App\Http\Middleware\LogAdminActivity</t>
        </is>
      </c>
    </row>
    <row r="55" ht="22" customHeight="1">
      <c r="A55" t="inlineStr" s="4">
        <is>
          <t>GET|HEAD</t>
        </is>
      </c>
      <c r="B55" t="inlineStr" s="4">
        <is>
          <t>admin/chat/{conversation}</t>
        </is>
      </c>
      <c r="C55" t="inlineStr" s="4">
        <is>
          <t>admin.chat.show</t>
        </is>
      </c>
      <c r="D55" t="inlineStr" s="4">
        <is>
          <t>Other / Legacy / Shared</t>
        </is>
      </c>
      <c r="E55" t="inlineStr" s="4">
        <is>
          <t>Admin</t>
        </is>
      </c>
      <c r="F55" t="inlineStr" s="4">
        <is>
          <t>App\Http\Controllers\Admin\ChatController@show</t>
        </is>
      </c>
      <c r="G55" t="inlineStr" s="4">
        <is>
          <t>web, Illuminate\Auth\Middleware\Authenticate, Illuminate\Auth\Middleware\EnsureEmailIsVerified, App\Http\Middleware\EnsureAdmin, App\Http\Middleware\LogAdminActivity</t>
        </is>
      </c>
    </row>
    <row r="56" ht="22" customHeight="1">
      <c r="A56" t="inlineStr" s="4">
        <is>
          <t>POST</t>
        </is>
      </c>
      <c r="B56" t="inlineStr" s="4">
        <is>
          <t>admin/chat/{conversation}/messages</t>
        </is>
      </c>
      <c r="C56" t="inlineStr" s="4">
        <is>
          <t>admin.chat.messages.store</t>
        </is>
      </c>
      <c r="D56" t="inlineStr" s="4">
        <is>
          <t>Other / Legacy / Shared</t>
        </is>
      </c>
      <c r="E56" t="inlineStr" s="4">
        <is>
          <t>Admin</t>
        </is>
      </c>
      <c r="F56" t="inlineStr" s="4">
        <is>
          <t>App\Http\Controllers\Admin\ChatController@store</t>
        </is>
      </c>
      <c r="G56" t="inlineStr" s="4">
        <is>
          <t>web, Illuminate\Auth\Middleware\Authenticate, Illuminate\Auth\Middleware\EnsureEmailIsVerified, App\Http\Middleware\EnsureAdmin, App\Http\Middleware\LogAdminActivity</t>
        </is>
      </c>
    </row>
    <row r="57" ht="22" customHeight="1">
      <c r="A57" t="inlineStr" s="4">
        <is>
          <t>GET|HEAD</t>
        </is>
      </c>
      <c r="B57" t="inlineStr" s="4">
        <is>
          <t>admin/events</t>
        </is>
      </c>
      <c r="C57" t="inlineStr" s="4">
        <is>
          <t>admin.events.index</t>
        </is>
      </c>
      <c r="D57" t="inlineStr" s="4">
        <is>
          <t>Other / Legacy / Shared</t>
        </is>
      </c>
      <c r="E57" t="inlineStr" s="4">
        <is>
          <t>Admin</t>
        </is>
      </c>
      <c r="F57" t="inlineStr" s="4">
        <is>
          <t>App\Http\Controllers\Admin\EventController@index</t>
        </is>
      </c>
      <c r="G57" t="inlineStr" s="4">
        <is>
          <t>web, Illuminate\Auth\Middleware\Authenticate, Illuminate\Auth\Middleware\EnsureEmailIsVerified, App\Http\Middleware\EnsureAdmin, App\Http\Middleware\LogAdminActivity</t>
        </is>
      </c>
    </row>
    <row r="58" ht="22" customHeight="1">
      <c r="A58" t="inlineStr" s="4">
        <is>
          <t>POST</t>
        </is>
      </c>
      <c r="B58" t="inlineStr" s="4">
        <is>
          <t>admin/events</t>
        </is>
      </c>
      <c r="C58" t="inlineStr" s="4">
        <is>
          <t>admin.events.store</t>
        </is>
      </c>
      <c r="D58" t="inlineStr" s="4">
        <is>
          <t>Other / Legacy / Shared</t>
        </is>
      </c>
      <c r="E58" t="inlineStr" s="4">
        <is>
          <t>Admin</t>
        </is>
      </c>
      <c r="F58" t="inlineStr" s="4">
        <is>
          <t>App\Http\Controllers\Admin\EventController@store</t>
        </is>
      </c>
      <c r="G58" t="inlineStr" s="4">
        <is>
          <t>web, Illuminate\Auth\Middleware\Authenticate, Illuminate\Auth\Middleware\EnsureEmailIsVerified, App\Http\Middleware\EnsureAdmin, App\Http\Middleware\LogAdminActivity</t>
        </is>
      </c>
    </row>
    <row r="59" ht="22" customHeight="1">
      <c r="A59" t="inlineStr" s="4">
        <is>
          <t>GET|HEAD</t>
        </is>
      </c>
      <c r="B59" t="inlineStr" s="4">
        <is>
          <t>admin/events/attendees</t>
        </is>
      </c>
      <c r="C59" t="inlineStr" s="4">
        <is>
          <t>admin.events.attendees.index</t>
        </is>
      </c>
      <c r="D59" t="inlineStr" s="4">
        <is>
          <t>Other / Legacy / Shared</t>
        </is>
      </c>
      <c r="E59" t="inlineStr" s="4">
        <is>
          <t>Admin</t>
        </is>
      </c>
      <c r="F59" t="inlineStr" s="4">
        <is>
          <t>App\Http\Controllers\Admin\EventAttendeeController@index</t>
        </is>
      </c>
      <c r="G59" t="inlineStr" s="4">
        <is>
          <t>web, Illuminate\Auth\Middleware\Authenticate, Illuminate\Auth\Middleware\EnsureEmailIsVerified, App\Http\Middleware\EnsureAdmin, App\Http\Middleware\LogAdminActivity</t>
        </is>
      </c>
    </row>
    <row r="60" ht="22" customHeight="1">
      <c r="A60" t="inlineStr" s="4">
        <is>
          <t>GET|HEAD</t>
        </is>
      </c>
      <c r="B60" t="inlineStr" s="4">
        <is>
          <t>admin/events/bookings</t>
        </is>
      </c>
      <c r="C60" t="inlineStr" s="4">
        <is>
          <t>admin.events.bookings.index</t>
        </is>
      </c>
      <c r="D60" t="inlineStr" s="4">
        <is>
          <t>Other / Legacy / Shared</t>
        </is>
      </c>
      <c r="E60" t="inlineStr" s="4">
        <is>
          <t>Admin</t>
        </is>
      </c>
      <c r="F60" t="inlineStr" s="4">
        <is>
          <t>App\Http\Controllers\Admin\EventBookingController@index</t>
        </is>
      </c>
      <c r="G60" t="inlineStr" s="4">
        <is>
          <t>web, Illuminate\Auth\Middleware\Authenticate, Illuminate\Auth\Middleware\EnsureEmailIsVerified, App\Http\Middleware\EnsureAdmin, App\Http\Middleware\LogAdminActivity</t>
        </is>
      </c>
    </row>
    <row r="61" ht="22" customHeight="1">
      <c r="A61" t="inlineStr" s="4">
        <is>
          <t>GET|HEAD</t>
        </is>
      </c>
      <c r="B61" t="inlineStr" s="4">
        <is>
          <t>admin/events/bookings/{booking}</t>
        </is>
      </c>
      <c r="C61" t="inlineStr" s="4">
        <is>
          <t>admin.events.bookings.show</t>
        </is>
      </c>
      <c r="D61" t="inlineStr" s="4">
        <is>
          <t>Other / Legacy / Shared</t>
        </is>
      </c>
      <c r="E61" t="inlineStr" s="4">
        <is>
          <t>Admin</t>
        </is>
      </c>
      <c r="F61" t="inlineStr" s="4">
        <is>
          <t>App\Http\Controllers\Admin\EventBookingController@show</t>
        </is>
      </c>
      <c r="G61" t="inlineStr" s="4">
        <is>
          <t>web, Illuminate\Auth\Middleware\Authenticate, Illuminate\Auth\Middleware\EnsureEmailIsVerified, App\Http\Middleware\EnsureAdmin, App\Http\Middleware\LogAdminActivity</t>
        </is>
      </c>
    </row>
    <row r="62" ht="22" customHeight="1">
      <c r="A62" t="inlineStr" s="4">
        <is>
          <t>POST</t>
        </is>
      </c>
      <c r="B62" t="inlineStr" s="4">
        <is>
          <t>admin/events/bookings/{booking}/refund</t>
        </is>
      </c>
      <c r="C62" t="inlineStr" s="4">
        <is>
          <t>admin.events.refunds.store</t>
        </is>
      </c>
      <c r="D62" t="inlineStr" s="4">
        <is>
          <t>Other / Legacy / Shared</t>
        </is>
      </c>
      <c r="E62" t="inlineStr" s="4">
        <is>
          <t>Admin</t>
        </is>
      </c>
      <c r="F62" t="inlineStr" s="4">
        <is>
          <t>App\Http\Controllers\Admin\EventExceptionController@refund</t>
        </is>
      </c>
      <c r="G62" t="inlineStr" s="4">
        <is>
          <t>web, Illuminate\Auth\Middleware\Authenticate, Illuminate\Auth\Middleware\EnsureEmailIsVerified, App\Http\Middleware\EnsureAdmin, App\Http\Middleware\LogAdminActivity</t>
        </is>
      </c>
    </row>
    <row r="63" ht="22" customHeight="1">
      <c r="A63" t="inlineStr" s="4">
        <is>
          <t>GET|HEAD</t>
        </is>
      </c>
      <c r="B63" t="inlineStr" s="4">
        <is>
          <t>admin/events/content</t>
        </is>
      </c>
      <c r="C63" t="inlineStr" s="4">
        <is>
          <t>admin.events.content.index</t>
        </is>
      </c>
      <c r="D63" t="inlineStr" s="4">
        <is>
          <t>Other / Legacy / Shared</t>
        </is>
      </c>
      <c r="E63" t="inlineStr" s="4">
        <is>
          <t>Admin</t>
        </is>
      </c>
      <c r="F63" t="inlineStr" s="4">
        <is>
          <t>App\Http\Controllers\Admin\EventContentController@index</t>
        </is>
      </c>
      <c r="G63" t="inlineStr" s="4">
        <is>
          <t>web, Illuminate\Auth\Middleware\Authenticate, Illuminate\Auth\Middleware\EnsureEmailIsVerified, App\Http\Middleware\EnsureAdmin, App\Http\Middleware\LogAdminActivity</t>
        </is>
      </c>
    </row>
    <row r="64" ht="22" customHeight="1">
      <c r="A64" t="inlineStr" s="4">
        <is>
          <t>GET|HEAD</t>
        </is>
      </c>
      <c r="B64" t="inlineStr" s="4">
        <is>
          <t>admin/events/create</t>
        </is>
      </c>
      <c r="C64" t="inlineStr" s="4">
        <is>
          <t>admin.events.create</t>
        </is>
      </c>
      <c r="D64" t="inlineStr" s="4">
        <is>
          <t>Other / Legacy / Shared</t>
        </is>
      </c>
      <c r="E64" t="inlineStr" s="4">
        <is>
          <t>Admin</t>
        </is>
      </c>
      <c r="F64" t="inlineStr" s="4">
        <is>
          <t>App\Http\Controllers\Admin\EventController@create</t>
        </is>
      </c>
      <c r="G64" t="inlineStr" s="4">
        <is>
          <t>web, Illuminate\Auth\Middleware\Authenticate, Illuminate\Auth\Middleware\EnsureEmailIsVerified, App\Http\Middleware\EnsureAdmin, App\Http\Middleware\LogAdminActivity</t>
        </is>
      </c>
    </row>
    <row r="65" ht="22" customHeight="1">
      <c r="A65" t="inlineStr" s="4">
        <is>
          <t>GET|HEAD</t>
        </is>
      </c>
      <c r="B65" t="inlineStr" s="4">
        <is>
          <t>admin/events/exceptions</t>
        </is>
      </c>
      <c r="C65" t="inlineStr" s="4">
        <is>
          <t>admin.events.exceptions.index</t>
        </is>
      </c>
      <c r="D65" t="inlineStr" s="4">
        <is>
          <t>Other / Legacy / Shared</t>
        </is>
      </c>
      <c r="E65" t="inlineStr" s="4">
        <is>
          <t>Admin</t>
        </is>
      </c>
      <c r="F65" t="inlineStr" s="4">
        <is>
          <t>App\Http\Controllers\Admin\EventExceptionController@index</t>
        </is>
      </c>
      <c r="G65" t="inlineStr" s="4">
        <is>
          <t>web, Illuminate\Auth\Middleware\Authenticate, Illuminate\Auth\Middleware\EnsureEmailIsVerified, App\Http\Middleware\EnsureAdmin, App\Http\Middleware\LogAdminActivity</t>
        </is>
      </c>
    </row>
    <row r="66" ht="22" customHeight="1">
      <c r="A66" t="inlineStr" s="4">
        <is>
          <t>GET|HEAD</t>
        </is>
      </c>
      <c r="B66" t="inlineStr" s="4">
        <is>
          <t>admin/events/finance/commissions</t>
        </is>
      </c>
      <c r="C66" t="inlineStr" s="4">
        <is>
          <t>admin.events.finance.commissions</t>
        </is>
      </c>
      <c r="D66" t="inlineStr" s="4">
        <is>
          <t>Other / Legacy / Shared</t>
        </is>
      </c>
      <c r="E66" t="inlineStr" s="4">
        <is>
          <t>Admin</t>
        </is>
      </c>
      <c r="F66" t="inlineStr" s="4">
        <is>
          <t>App\Http\Controllers\Admin\EventFinanceController@commissions</t>
        </is>
      </c>
      <c r="G66" t="inlineStr" s="4">
        <is>
          <t>web, Illuminate\Auth\Middleware\Authenticate, Illuminate\Auth\Middleware\EnsureEmailIsVerified, App\Http\Middleware\EnsureAdmin, App\Http\Middleware\LogAdminActivity</t>
        </is>
      </c>
    </row>
    <row r="67" ht="22" customHeight="1">
      <c r="A67" t="inlineStr" s="4">
        <is>
          <t>POST</t>
        </is>
      </c>
      <c r="B67" t="inlineStr" s="4">
        <is>
          <t>admin/events/finance/commissions</t>
        </is>
      </c>
      <c r="C67" t="inlineStr" s="4">
        <is>
          <t>admin.events.finance.commissions.store</t>
        </is>
      </c>
      <c r="D67" t="inlineStr" s="4">
        <is>
          <t>Other / Legacy / Shared</t>
        </is>
      </c>
      <c r="E67" t="inlineStr" s="4">
        <is>
          <t>Admin</t>
        </is>
      </c>
      <c r="F67" t="inlineStr" s="4">
        <is>
          <t>App\Http\Controllers\Admin\EventFinanceController@storeCommission</t>
        </is>
      </c>
      <c r="G67" t="inlineStr" s="4">
        <is>
          <t>web, Illuminate\Auth\Middleware\Authenticate, Illuminate\Auth\Middleware\EnsureEmailIsVerified, App\Http\Middleware\EnsureAdmin, App\Http\Middleware\LogAdminActivity</t>
        </is>
      </c>
    </row>
    <row r="68" ht="22" customHeight="1">
      <c r="A68" t="inlineStr" s="4">
        <is>
          <t>GET|HEAD</t>
        </is>
      </c>
      <c r="B68" t="inlineStr" s="4">
        <is>
          <t>admin/events/finance/reports</t>
        </is>
      </c>
      <c r="C68" t="inlineStr" s="4">
        <is>
          <t>admin.events.finance.reports</t>
        </is>
      </c>
      <c r="D68" t="inlineStr" s="4">
        <is>
          <t>Other / Legacy / Shared</t>
        </is>
      </c>
      <c r="E68" t="inlineStr" s="4">
        <is>
          <t>Admin</t>
        </is>
      </c>
      <c r="F68" t="inlineStr" s="4">
        <is>
          <t>App\Http\Controllers\Admin\EventFinanceController@reports</t>
        </is>
      </c>
      <c r="G68" t="inlineStr" s="4">
        <is>
          <t>web, Illuminate\Auth\Middleware\Authenticate, Illuminate\Auth\Middleware\EnsureEmailIsVerified, App\Http\Middleware\EnsureAdmin, App\Http\Middleware\LogAdminActivity</t>
        </is>
      </c>
    </row>
    <row r="69" ht="22" customHeight="1">
      <c r="A69" t="inlineStr" s="4">
        <is>
          <t>GET|HEAD</t>
        </is>
      </c>
      <c r="B69" t="inlineStr" s="4">
        <is>
          <t>admin/events/finance/settlements</t>
        </is>
      </c>
      <c r="C69" t="inlineStr" s="4">
        <is>
          <t>admin.events.finance.settlements</t>
        </is>
      </c>
      <c r="D69" t="inlineStr" s="4">
        <is>
          <t>Other / Legacy / Shared</t>
        </is>
      </c>
      <c r="E69" t="inlineStr" s="4">
        <is>
          <t>Admin</t>
        </is>
      </c>
      <c r="F69" t="inlineStr" s="4">
        <is>
          <t>App\Http\Controllers\Admin\EventFinanceController@settlements</t>
        </is>
      </c>
      <c r="G69" t="inlineStr" s="4">
        <is>
          <t>web, Illuminate\Auth\Middleware\Authenticate, Illuminate\Auth\Middleware\EnsureEmailIsVerified, App\Http\Middleware\EnsureAdmin, App\Http\Middleware\LogAdminActivity</t>
        </is>
      </c>
    </row>
    <row r="70" ht="22" customHeight="1">
      <c r="A70" t="inlineStr" s="4">
        <is>
          <t>POST</t>
        </is>
      </c>
      <c r="B70" t="inlineStr" s="4">
        <is>
          <t>admin/events/finance/settlements</t>
        </is>
      </c>
      <c r="C70" t="inlineStr" s="4">
        <is>
          <t>admin.events.finance.settlements.create</t>
        </is>
      </c>
      <c r="D70" t="inlineStr" s="4">
        <is>
          <t>Other / Legacy / Shared</t>
        </is>
      </c>
      <c r="E70" t="inlineStr" s="4">
        <is>
          <t>Admin</t>
        </is>
      </c>
      <c r="F70" t="inlineStr" s="4">
        <is>
          <t>App\Http\Controllers\Admin\EventFinanceController@createSettlement</t>
        </is>
      </c>
      <c r="G70" t="inlineStr" s="4">
        <is>
          <t>web, Illuminate\Auth\Middleware\Authenticate, Illuminate\Auth\Middleware\EnsureEmailIsVerified, App\Http\Middleware\EnsureAdmin, App\Http\Middleware\LogAdminActivity</t>
        </is>
      </c>
    </row>
    <row r="71" ht="22" customHeight="1">
      <c r="A71" t="inlineStr" s="4">
        <is>
          <t>GET|HEAD</t>
        </is>
      </c>
      <c r="B71" t="inlineStr" s="4">
        <is>
          <t>admin/events/organizers</t>
        </is>
      </c>
      <c r="C71" t="inlineStr" s="4">
        <is>
          <t>admin.events.organizers.index</t>
        </is>
      </c>
      <c r="D71" t="inlineStr" s="4">
        <is>
          <t>Other / Legacy / Shared</t>
        </is>
      </c>
      <c r="E71" t="inlineStr" s="4">
        <is>
          <t>Admin</t>
        </is>
      </c>
      <c r="F71" t="inlineStr" s="4">
        <is>
          <t>App\Http\Controllers\Admin\EventOrganizerController@index</t>
        </is>
      </c>
      <c r="G71" t="inlineStr" s="4">
        <is>
          <t>web, Illuminate\Auth\Middleware\Authenticate, Illuminate\Auth\Middleware\EnsureEmailIsVerified, App\Http\Middleware\EnsureAdmin, App\Http\Middleware\LogAdminActivity</t>
        </is>
      </c>
    </row>
    <row r="72" ht="22" customHeight="1">
      <c r="A72" t="inlineStr" s="4">
        <is>
          <t>POST</t>
        </is>
      </c>
      <c r="B72" t="inlineStr" s="4">
        <is>
          <t>admin/events/organizers</t>
        </is>
      </c>
      <c r="C72" t="inlineStr" s="4">
        <is>
          <t>admin.events.organizers.store</t>
        </is>
      </c>
      <c r="D72" t="inlineStr" s="4">
        <is>
          <t>Other / Legacy / Shared</t>
        </is>
      </c>
      <c r="E72" t="inlineStr" s="4">
        <is>
          <t>Admin</t>
        </is>
      </c>
      <c r="F72" t="inlineStr" s="4">
        <is>
          <t>App\Http\Controllers\Admin\EventOrganizerController@store</t>
        </is>
      </c>
      <c r="G72" t="inlineStr" s="4">
        <is>
          <t>web, Illuminate\Auth\Middleware\Authenticate, Illuminate\Auth\Middleware\EnsureEmailIsVerified, App\Http\Middleware\EnsureAdmin, App\Http\Middleware\LogAdminActivity</t>
        </is>
      </c>
    </row>
    <row r="73" ht="22" customHeight="1">
      <c r="A73" t="inlineStr" s="4">
        <is>
          <t>GET|HEAD</t>
        </is>
      </c>
      <c r="B73" t="inlineStr" s="4">
        <is>
          <t>admin/events/organizers/{organizer}</t>
        </is>
      </c>
      <c r="C73" t="inlineStr" s="4">
        <is>
          <t>admin.events.organizers.show</t>
        </is>
      </c>
      <c r="D73" t="inlineStr" s="4">
        <is>
          <t>Other / Legacy / Shared</t>
        </is>
      </c>
      <c r="E73" t="inlineStr" s="4">
        <is>
          <t>Admin</t>
        </is>
      </c>
      <c r="F73" t="inlineStr" s="4">
        <is>
          <t>App\Http\Controllers\Admin\EventOrganizerController@show</t>
        </is>
      </c>
      <c r="G73" t="inlineStr" s="4">
        <is>
          <t>web, Illuminate\Auth\Middleware\Authenticate, Illuminate\Auth\Middleware\EnsureEmailIsVerified, App\Http\Middleware\EnsureAdmin, App\Http\Middleware\LogAdminActivity</t>
        </is>
      </c>
    </row>
    <row r="74" ht="22" customHeight="1">
      <c r="A74" t="inlineStr" s="4">
        <is>
          <t>DELETE</t>
        </is>
      </c>
      <c r="B74" t="inlineStr" s="4">
        <is>
          <t>admin/events/organizers/{organizer}</t>
        </is>
      </c>
      <c r="C74" t="inlineStr" s="4">
        <is>
          <t>admin.events.organizers.destroy</t>
        </is>
      </c>
      <c r="D74" t="inlineStr" s="4">
        <is>
          <t>Other / Legacy / Shared</t>
        </is>
      </c>
      <c r="E74" t="inlineStr" s="4">
        <is>
          <t>Admin</t>
        </is>
      </c>
      <c r="F74" t="inlineStr" s="4">
        <is>
          <t>App\Http\Controllers\Admin\EventOrganizerController@destroy</t>
        </is>
      </c>
      <c r="G74" t="inlineStr" s="4">
        <is>
          <t>web, Illuminate\Auth\Middleware\Authenticate, Illuminate\Auth\Middleware\EnsureEmailIsVerified, App\Http\Middleware\EnsureAdmin, App\Http\Middleware\LogAdminActivity</t>
        </is>
      </c>
    </row>
    <row r="75" ht="22" customHeight="1">
      <c r="A75" t="inlineStr" s="4">
        <is>
          <t>POST</t>
        </is>
      </c>
      <c r="B75" t="inlineStr" s="4">
        <is>
          <t>admin/events/organizers/{organizer}/status</t>
        </is>
      </c>
      <c r="C75" t="inlineStr" s="4">
        <is>
          <t>admin.events.organizers.status</t>
        </is>
      </c>
      <c r="D75" t="inlineStr" s="4">
        <is>
          <t>Other / Legacy / Shared</t>
        </is>
      </c>
      <c r="E75" t="inlineStr" s="4">
        <is>
          <t>Admin</t>
        </is>
      </c>
      <c r="F75" t="inlineStr" s="4">
        <is>
          <t>App\Http\Controllers\Admin\EventOrganizerController@updateStatus</t>
        </is>
      </c>
      <c r="G75" t="inlineStr" s="4">
        <is>
          <t>web, Illuminate\Auth\Middleware\Authenticate, Illuminate\Auth\Middleware\EnsureEmailIsVerified, App\Http\Middleware\EnsureAdmin, App\Http\Middleware\LogAdminActivity</t>
        </is>
      </c>
    </row>
    <row r="76" ht="22" customHeight="1">
      <c r="A76" t="inlineStr" s="4">
        <is>
          <t>GET|HEAD</t>
        </is>
      </c>
      <c r="B76" t="inlineStr" s="4">
        <is>
          <t>admin/events/reviews</t>
        </is>
      </c>
      <c r="C76" t="inlineStr" s="4">
        <is>
          <t>admin.events.reviews.index</t>
        </is>
      </c>
      <c r="D76" t="inlineStr" s="4">
        <is>
          <t>Other / Legacy / Shared</t>
        </is>
      </c>
      <c r="E76" t="inlineStr" s="4">
        <is>
          <t>Admin</t>
        </is>
      </c>
      <c r="F76" t="inlineStr" s="4">
        <is>
          <t>App\Http\Controllers\Admin\EventReviewController@index</t>
        </is>
      </c>
      <c r="G76" t="inlineStr" s="4">
        <is>
          <t>web, Illuminate\Auth\Middleware\Authenticate, Illuminate\Auth\Middleware\EnsureEmailIsVerified, App\Http\Middleware\EnsureAdmin, App\Http\Middleware\LogAdminActivity</t>
        </is>
      </c>
    </row>
    <row r="77" ht="22" customHeight="1">
      <c r="A77" t="inlineStr" s="4">
        <is>
          <t>GET|HEAD</t>
        </is>
      </c>
      <c r="B77" t="inlineStr" s="4">
        <is>
          <t>admin/events/scans</t>
        </is>
      </c>
      <c r="C77" t="inlineStr" s="4">
        <is>
          <t>admin.events.scans.index</t>
        </is>
      </c>
      <c r="D77" t="inlineStr" s="4">
        <is>
          <t>Other / Legacy / Shared</t>
        </is>
      </c>
      <c r="E77" t="inlineStr" s="4">
        <is>
          <t>Admin</t>
        </is>
      </c>
      <c r="F77" t="inlineStr" s="4">
        <is>
          <t>App\Http\Controllers\Admin\EventScanController@index</t>
        </is>
      </c>
      <c r="G77" t="inlineStr" s="4">
        <is>
          <t>web, Illuminate\Auth\Middleware\Authenticate, Illuminate\Auth\Middleware\EnsureEmailIsVerified, App\Http\Middleware\EnsureAdmin, App\Http\Middleware\LogAdminActivity</t>
        </is>
      </c>
    </row>
    <row r="78" ht="22" customHeight="1">
      <c r="A78" t="inlineStr" s="4">
        <is>
          <t>GET|HEAD</t>
        </is>
      </c>
      <c r="B78" t="inlineStr" s="4">
        <is>
          <t>admin/events/system/audit-logs</t>
        </is>
      </c>
      <c r="C78" t="inlineStr" s="4">
        <is>
          <t>admin.events.audit.index</t>
        </is>
      </c>
      <c r="D78" t="inlineStr" s="4">
        <is>
          <t>Other / Legacy / Shared</t>
        </is>
      </c>
      <c r="E78" t="inlineStr" s="4">
        <is>
          <t>Admin</t>
        </is>
      </c>
      <c r="F78" t="inlineStr" s="4">
        <is>
          <t>App\Http\Controllers\Admin\EventAuditController@index</t>
        </is>
      </c>
      <c r="G78" t="inlineStr" s="4">
        <is>
          <t>web, Illuminate\Auth\Middleware\Authenticate, Illuminate\Auth\Middleware\EnsureEmailIsVerified, App\Http\Middleware\EnsureAdmin, App\Http\Middleware\LogAdminActivity</t>
        </is>
      </c>
    </row>
    <row r="79" ht="22" customHeight="1">
      <c r="A79" t="inlineStr" s="4">
        <is>
          <t>GET|HEAD</t>
        </is>
      </c>
      <c r="B79" t="inlineStr" s="4">
        <is>
          <t>admin/events/system/settings</t>
        </is>
      </c>
      <c r="C79" t="inlineStr" s="4">
        <is>
          <t>admin.events.settings.index</t>
        </is>
      </c>
      <c r="D79" t="inlineStr" s="4">
        <is>
          <t>Other / Legacy / Shared</t>
        </is>
      </c>
      <c r="E79" t="inlineStr" s="4">
        <is>
          <t>Admin</t>
        </is>
      </c>
      <c r="F79" t="inlineStr" s="4">
        <is>
          <t>App\Http\Controllers\Admin\EventSettingController@index</t>
        </is>
      </c>
      <c r="G79" t="inlineStr" s="4">
        <is>
          <t>web, Illuminate\Auth\Middleware\Authenticate, Illuminate\Auth\Middleware\EnsureEmailIsVerified, App\Http\Middleware\EnsureAdmin, App\Http\Middleware\LogAdminActivity</t>
        </is>
      </c>
    </row>
    <row r="80" ht="22" customHeight="1">
      <c r="A80" t="inlineStr" s="4">
        <is>
          <t>POST</t>
        </is>
      </c>
      <c r="B80" t="inlineStr" s="4">
        <is>
          <t>admin/events/system/settings</t>
        </is>
      </c>
      <c r="C80" t="inlineStr" s="4">
        <is>
          <t>admin.events.settings.update</t>
        </is>
      </c>
      <c r="D80" t="inlineStr" s="4">
        <is>
          <t>Other / Legacy / Shared</t>
        </is>
      </c>
      <c r="E80" t="inlineStr" s="4">
        <is>
          <t>Admin</t>
        </is>
      </c>
      <c r="F80" t="inlineStr" s="4">
        <is>
          <t>App\Http\Controllers\Admin\EventSettingController@update</t>
        </is>
      </c>
      <c r="G80" t="inlineStr" s="4">
        <is>
          <t>web, Illuminate\Auth\Middleware\Authenticate, Illuminate\Auth\Middleware\EnsureEmailIsVerified, App\Http\Middleware\EnsureAdmin, App\Http\Middleware\LogAdminActivity</t>
        </is>
      </c>
    </row>
    <row r="81" ht="22" customHeight="1">
      <c r="A81" t="inlineStr" s="4">
        <is>
          <t>GET|HEAD</t>
        </is>
      </c>
      <c r="B81" t="inlineStr" s="4">
        <is>
          <t>admin/events/tickets</t>
        </is>
      </c>
      <c r="C81" t="inlineStr" s="4">
        <is>
          <t>admin.events.tickets.index</t>
        </is>
      </c>
      <c r="D81" t="inlineStr" s="4">
        <is>
          <t>Other / Legacy / Shared</t>
        </is>
      </c>
      <c r="E81" t="inlineStr" s="4">
        <is>
          <t>Admin</t>
        </is>
      </c>
      <c r="F81" t="inlineStr" s="4">
        <is>
          <t>App\Http\Controllers\Admin\EventTicketController@index</t>
        </is>
      </c>
      <c r="G81" t="inlineStr" s="4">
        <is>
          <t>web, Illuminate\Auth\Middleware\Authenticate, Illuminate\Auth\Middleware\EnsureEmailIsVerified, App\Http\Middleware\EnsureAdmin, App\Http\Middleware\LogAdminActivity</t>
        </is>
      </c>
    </row>
    <row r="82" ht="22" customHeight="1">
      <c r="A82" t="inlineStr" s="4">
        <is>
          <t>POST</t>
        </is>
      </c>
      <c r="B82" t="inlineStr" s="4">
        <is>
          <t>admin/events/tickets</t>
        </is>
      </c>
      <c r="C82" t="inlineStr" s="4">
        <is>
          <t>admin.events.tickets.store</t>
        </is>
      </c>
      <c r="D82" t="inlineStr" s="4">
        <is>
          <t>Other / Legacy / Shared</t>
        </is>
      </c>
      <c r="E82" t="inlineStr" s="4">
        <is>
          <t>Admin</t>
        </is>
      </c>
      <c r="F82" t="inlineStr" s="4">
        <is>
          <t>App\Http\Controllers\Admin\EventTicketController@store</t>
        </is>
      </c>
      <c r="G82" t="inlineStr" s="4">
        <is>
          <t>web, Illuminate\Auth\Middleware\Authenticate, Illuminate\Auth\Middleware\EnsureEmailIsVerified, App\Http\Middleware\EnsureAdmin, App\Http\Middleware\LogAdminActivity</t>
        </is>
      </c>
    </row>
    <row r="83" ht="22" customHeight="1">
      <c r="A83" t="inlineStr" s="4">
        <is>
          <t>GET|HEAD</t>
        </is>
      </c>
      <c r="B83" t="inlineStr" s="4">
        <is>
          <t>admin/events/tickets/create</t>
        </is>
      </c>
      <c r="C83" t="inlineStr" s="4">
        <is>
          <t>admin.events.tickets.create</t>
        </is>
      </c>
      <c r="D83" t="inlineStr" s="4">
        <is>
          <t>Other / Legacy / Shared</t>
        </is>
      </c>
      <c r="E83" t="inlineStr" s="4">
        <is>
          <t>Admin</t>
        </is>
      </c>
      <c r="F83" t="inlineStr" s="4">
        <is>
          <t>App\Http\Controllers\Admin\EventTicketController@create</t>
        </is>
      </c>
      <c r="G83" t="inlineStr" s="4">
        <is>
          <t>web, Illuminate\Auth\Middleware\Authenticate, Illuminate\Auth\Middleware\EnsureEmailIsVerified, App\Http\Middleware\EnsureAdmin, App\Http\Middleware\LogAdminActivity</t>
        </is>
      </c>
    </row>
    <row r="84" ht="22" customHeight="1">
      <c r="A84" t="inlineStr" s="4">
        <is>
          <t>PUT</t>
        </is>
      </c>
      <c r="B84" t="inlineStr" s="4">
        <is>
          <t>admin/events/tickets/{ticket}</t>
        </is>
      </c>
      <c r="C84" t="inlineStr" s="4">
        <is>
          <t>admin.events.tickets.update</t>
        </is>
      </c>
      <c r="D84" t="inlineStr" s="4">
        <is>
          <t>Other / Legacy / Shared</t>
        </is>
      </c>
      <c r="E84" t="inlineStr" s="4">
        <is>
          <t>Admin</t>
        </is>
      </c>
      <c r="F84" t="inlineStr" s="4">
        <is>
          <t>App\Http\Controllers\Admin\EventTicketController@update</t>
        </is>
      </c>
      <c r="G84" t="inlineStr" s="4">
        <is>
          <t>web, Illuminate\Auth\Middleware\Authenticate, Illuminate\Auth\Middleware\EnsureEmailIsVerified, App\Http\Middleware\EnsureAdmin, App\Http\Middleware\LogAdminActivity</t>
        </is>
      </c>
    </row>
    <row r="85" ht="22" customHeight="1">
      <c r="A85" t="inlineStr" s="4">
        <is>
          <t>DELETE</t>
        </is>
      </c>
      <c r="B85" t="inlineStr" s="4">
        <is>
          <t>admin/events/tickets/{ticket}</t>
        </is>
      </c>
      <c r="C85" t="inlineStr" s="4">
        <is>
          <t>admin.events.tickets.destroy</t>
        </is>
      </c>
      <c r="D85" t="inlineStr" s="4">
        <is>
          <t>Other / Legacy / Shared</t>
        </is>
      </c>
      <c r="E85" t="inlineStr" s="4">
        <is>
          <t>Admin</t>
        </is>
      </c>
      <c r="F85" t="inlineStr" s="4">
        <is>
          <t>App\Http\Controllers\Admin\EventTicketController@destroy</t>
        </is>
      </c>
      <c r="G85" t="inlineStr" s="4">
        <is>
          <t>web, Illuminate\Auth\Middleware\Authenticate, Illuminate\Auth\Middleware\EnsureEmailIsVerified, App\Http\Middleware\EnsureAdmin, App\Http\Middleware\LogAdminActivity</t>
        </is>
      </c>
    </row>
    <row r="86" ht="22" customHeight="1">
      <c r="A86" t="inlineStr" s="4">
        <is>
          <t>GET|HEAD</t>
        </is>
      </c>
      <c r="B86" t="inlineStr" s="4">
        <is>
          <t>admin/events/tickets/{ticket}/edit</t>
        </is>
      </c>
      <c r="C86" t="inlineStr" s="4">
        <is>
          <t>admin.events.tickets.edit</t>
        </is>
      </c>
      <c r="D86" t="inlineStr" s="4">
        <is>
          <t>Other / Legacy / Shared</t>
        </is>
      </c>
      <c r="E86" t="inlineStr" s="4">
        <is>
          <t>Admin</t>
        </is>
      </c>
      <c r="F86" t="inlineStr" s="4">
        <is>
          <t>App\Http\Controllers\Admin\EventTicketController@edit</t>
        </is>
      </c>
      <c r="G86" t="inlineStr" s="4">
        <is>
          <t>web, Illuminate\Auth\Middleware\Authenticate, Illuminate\Auth\Middleware\EnsureEmailIsVerified, App\Http\Middleware\EnsureAdmin, App\Http\Middleware\LogAdminActivity</t>
        </is>
      </c>
    </row>
    <row r="87" ht="22" customHeight="1">
      <c r="A87" t="inlineStr" s="4">
        <is>
          <t>GET|HEAD</t>
        </is>
      </c>
      <c r="B87" t="inlineStr" s="4">
        <is>
          <t>admin/events/{event}</t>
        </is>
      </c>
      <c r="C87" t="inlineStr" s="4">
        <is>
          <t>admin.events.show</t>
        </is>
      </c>
      <c r="D87" t="inlineStr" s="4">
        <is>
          <t>Other / Legacy / Shared</t>
        </is>
      </c>
      <c r="E87" t="inlineStr" s="4">
        <is>
          <t>Admin</t>
        </is>
      </c>
      <c r="F87" t="inlineStr" s="4">
        <is>
          <t>App\Http\Controllers\Admin\EventController@show</t>
        </is>
      </c>
      <c r="G87" t="inlineStr" s="4">
        <is>
          <t>web, Illuminate\Auth\Middleware\Authenticate, Illuminate\Auth\Middleware\EnsureEmailIsVerified, App\Http\Middleware\EnsureAdmin, App\Http\Middleware\LogAdminActivity</t>
        </is>
      </c>
    </row>
    <row r="88" ht="22" customHeight="1">
      <c r="A88" t="inlineStr" s="4">
        <is>
          <t>PUT</t>
        </is>
      </c>
      <c r="B88" t="inlineStr" s="4">
        <is>
          <t>admin/events/{event}</t>
        </is>
      </c>
      <c r="C88" t="inlineStr" s="4">
        <is>
          <t>admin.events.update</t>
        </is>
      </c>
      <c r="D88" t="inlineStr" s="4">
        <is>
          <t>Other / Legacy / Shared</t>
        </is>
      </c>
      <c r="E88" t="inlineStr" s="4">
        <is>
          <t>Admin</t>
        </is>
      </c>
      <c r="F88" t="inlineStr" s="4">
        <is>
          <t>App\Http\Controllers\Admin\EventController@update</t>
        </is>
      </c>
      <c r="G88" t="inlineStr" s="4">
        <is>
          <t>web, Illuminate\Auth\Middleware\Authenticate, Illuminate\Auth\Middleware\EnsureEmailIsVerified, App\Http\Middleware\EnsureAdmin, App\Http\Middleware\LogAdminActivity</t>
        </is>
      </c>
    </row>
    <row r="89" ht="22" customHeight="1">
      <c r="A89" t="inlineStr" s="4">
        <is>
          <t>DELETE</t>
        </is>
      </c>
      <c r="B89" t="inlineStr" s="4">
        <is>
          <t>admin/events/{event}</t>
        </is>
      </c>
      <c r="C89" t="inlineStr" s="4">
        <is>
          <t>admin.events.destroy</t>
        </is>
      </c>
      <c r="D89" t="inlineStr" s="4">
        <is>
          <t>Other / Legacy / Shared</t>
        </is>
      </c>
      <c r="E89" t="inlineStr" s="4">
        <is>
          <t>Admin</t>
        </is>
      </c>
      <c r="F89" t="inlineStr" s="4">
        <is>
          <t>App\Http\Controllers\Admin\EventController@destroy</t>
        </is>
      </c>
      <c r="G89" t="inlineStr" s="4">
        <is>
          <t>web, Illuminate\Auth\Middleware\Authenticate, Illuminate\Auth\Middleware\EnsureEmailIsVerified, App\Http\Middleware\EnsureAdmin, App\Http\Middleware\LogAdminActivity</t>
        </is>
      </c>
    </row>
    <row r="90" ht="22" customHeight="1">
      <c r="A90" t="inlineStr" s="4">
        <is>
          <t>POST</t>
        </is>
      </c>
      <c r="B90" t="inlineStr" s="4">
        <is>
          <t>admin/events/{event}/capacity</t>
        </is>
      </c>
      <c r="C90" t="inlineStr" s="4">
        <is>
          <t>admin.events.capacity</t>
        </is>
      </c>
      <c r="D90" t="inlineStr" s="4">
        <is>
          <t>Other / Legacy / Shared</t>
        </is>
      </c>
      <c r="E90" t="inlineStr" s="4">
        <is>
          <t>Admin</t>
        </is>
      </c>
      <c r="F90" t="inlineStr" s="4">
        <is>
          <t>App\Http\Controllers\Admin\EventController@updateCapacity</t>
        </is>
      </c>
      <c r="G90" t="inlineStr" s="4">
        <is>
          <t>web, Illuminate\Auth\Middleware\Authenticate, Illuminate\Auth\Middleware\EnsureEmailIsVerified, App\Http\Middleware\EnsureAdmin, App\Http\Middleware\LogAdminActivity</t>
        </is>
      </c>
    </row>
    <row r="91" ht="22" customHeight="1">
      <c r="A91" t="inlineStr" s="4">
        <is>
          <t>GET|HEAD</t>
        </is>
      </c>
      <c r="B91" t="inlineStr" s="4">
        <is>
          <t>admin/events/{event}/edit</t>
        </is>
      </c>
      <c r="C91" t="inlineStr" s="4">
        <is>
          <t>admin.events.edit</t>
        </is>
      </c>
      <c r="D91" t="inlineStr" s="4">
        <is>
          <t>Other / Legacy / Shared</t>
        </is>
      </c>
      <c r="E91" t="inlineStr" s="4">
        <is>
          <t>Admin</t>
        </is>
      </c>
      <c r="F91" t="inlineStr" s="4">
        <is>
          <t>App\Http\Controllers\Admin\EventController@edit</t>
        </is>
      </c>
      <c r="G91" t="inlineStr" s="4">
        <is>
          <t>web, Illuminate\Auth\Middleware\Authenticate, Illuminate\Auth\Middleware\EnsureEmailIsVerified, App\Http\Middleware\EnsureAdmin, App\Http\Middleware\LogAdminActivity</t>
        </is>
      </c>
    </row>
    <row r="92" ht="22" customHeight="1">
      <c r="A92" t="inlineStr" s="4">
        <is>
          <t>POST</t>
        </is>
      </c>
      <c r="B92" t="inlineStr" s="4">
        <is>
          <t>admin/events/{event}/exception</t>
        </is>
      </c>
      <c r="C92" t="inlineStr" s="4">
        <is>
          <t>admin.events.exceptions.update</t>
        </is>
      </c>
      <c r="D92" t="inlineStr" s="4">
        <is>
          <t>Other / Legacy / Shared</t>
        </is>
      </c>
      <c r="E92" t="inlineStr" s="4">
        <is>
          <t>Admin</t>
        </is>
      </c>
      <c r="F92" t="inlineStr" s="4">
        <is>
          <t>App\Http\Controllers\Admin\EventExceptionController@updateEvent</t>
        </is>
      </c>
      <c r="G92" t="inlineStr" s="4">
        <is>
          <t>web, Illuminate\Auth\Middleware\Authenticate, Illuminate\Auth\Middleware\EnsureEmailIsVerified, App\Http\Middleware\EnsureAdmin, App\Http\Middleware\LogAdminActivity</t>
        </is>
      </c>
    </row>
    <row r="93" ht="22" customHeight="1">
      <c r="A93" t="inlineStr" s="4">
        <is>
          <t>POST</t>
        </is>
      </c>
      <c r="B93" t="inlineStr" s="4">
        <is>
          <t>admin/events/{event}/status</t>
        </is>
      </c>
      <c r="C93" t="inlineStr" s="4">
        <is>
          <t>admin.events.status</t>
        </is>
      </c>
      <c r="D93" t="inlineStr" s="4">
        <is>
          <t>Other / Legacy / Shared</t>
        </is>
      </c>
      <c r="E93" t="inlineStr" s="4">
        <is>
          <t>Admin</t>
        </is>
      </c>
      <c r="F93" t="inlineStr" s="4">
        <is>
          <t>App\Http\Controllers\Admin\EventController@updateStatus</t>
        </is>
      </c>
      <c r="G93" t="inlineStr" s="4">
        <is>
          <t>web, Illuminate\Auth\Middleware\Authenticate, Illuminate\Auth\Middleware\EnsureEmailIsVerified, App\Http\Middleware\EnsureAdmin, App\Http\Middleware\LogAdminActivity</t>
        </is>
      </c>
    </row>
    <row r="94" ht="22" customHeight="1">
      <c r="A94" t="inlineStr" s="4">
        <is>
          <t>GET|HEAD</t>
        </is>
      </c>
      <c r="B94" t="inlineStr" s="4">
        <is>
          <t>admin/finance/commissions</t>
        </is>
      </c>
      <c r="C94" t="inlineStr" s="4">
        <is>
          <t>admin.finance.commissions.index</t>
        </is>
      </c>
      <c r="D94" t="inlineStr" s="4">
        <is>
          <t>Admin Finance</t>
        </is>
      </c>
      <c r="E94" t="inlineStr" s="4">
        <is>
          <t>Admin</t>
        </is>
      </c>
      <c r="F94" t="inlineStr" s="4">
        <is>
          <t>App\Http\Controllers\Admin\CommissionRuleController@index</t>
        </is>
      </c>
      <c r="G94" t="inlineStr" s="4">
        <is>
          <t>web, Illuminate\Auth\Middleware\Authenticate, Illuminate\Auth\Middleware\EnsureEmailIsVerified, App\Http\Middleware\EnsureAdmin, App\Http\Middleware\LogAdminActivity</t>
        </is>
      </c>
    </row>
    <row r="95" ht="22" customHeight="1">
      <c r="A95" t="inlineStr" s="4">
        <is>
          <t>POST</t>
        </is>
      </c>
      <c r="B95" t="inlineStr" s="4">
        <is>
          <t>admin/finance/commissions</t>
        </is>
      </c>
      <c r="C95" t="inlineStr" s="4">
        <is>
          <t>admin.finance.commissions.store</t>
        </is>
      </c>
      <c r="D95" t="inlineStr" s="4">
        <is>
          <t>Admin Finance</t>
        </is>
      </c>
      <c r="E95" t="inlineStr" s="4">
        <is>
          <t>Admin</t>
        </is>
      </c>
      <c r="F95" t="inlineStr" s="4">
        <is>
          <t>App\Http\Controllers\Admin\CommissionRuleController@store</t>
        </is>
      </c>
      <c r="G95" t="inlineStr" s="4">
        <is>
          <t>web, Illuminate\Auth\Middleware\Authenticate, Illuminate\Auth\Middleware\EnsureEmailIsVerified, App\Http\Middleware\EnsureAdmin, App\Http\Middleware\LogAdminActivity</t>
        </is>
      </c>
    </row>
    <row r="96" ht="22" customHeight="1">
      <c r="A96" t="inlineStr" s="4">
        <is>
          <t>PUT</t>
        </is>
      </c>
      <c r="B96" t="inlineStr" s="4">
        <is>
          <t>admin/finance/commissions/{commissionRule}</t>
        </is>
      </c>
      <c r="C96" t="inlineStr" s="4">
        <is>
          <t>admin.finance.commissions.update</t>
        </is>
      </c>
      <c r="D96" t="inlineStr" s="4">
        <is>
          <t>Admin Finance</t>
        </is>
      </c>
      <c r="E96" t="inlineStr" s="4">
        <is>
          <t>Admin</t>
        </is>
      </c>
      <c r="F96" t="inlineStr" s="4">
        <is>
          <t>App\Http\Controllers\Admin\CommissionRuleController@update</t>
        </is>
      </c>
      <c r="G96" t="inlineStr" s="4">
        <is>
          <t>web, Illuminate\Auth\Middleware\Authenticate, Illuminate\Auth\Middleware\EnsureEmailIsVerified, App\Http\Middleware\EnsureAdmin, App\Http\Middleware\LogAdminActivity</t>
        </is>
      </c>
    </row>
    <row r="97" ht="22" customHeight="1">
      <c r="A97" t="inlineStr" s="4">
        <is>
          <t>DELETE</t>
        </is>
      </c>
      <c r="B97" t="inlineStr" s="4">
        <is>
          <t>admin/finance/commissions/{commissionRule}</t>
        </is>
      </c>
      <c r="C97" t="inlineStr" s="4">
        <is>
          <t>admin.finance.commissions.destroy</t>
        </is>
      </c>
      <c r="D97" t="inlineStr" s="4">
        <is>
          <t>Admin Finance</t>
        </is>
      </c>
      <c r="E97" t="inlineStr" s="4">
        <is>
          <t>Admin</t>
        </is>
      </c>
      <c r="F97" t="inlineStr" s="4">
        <is>
          <t>App\Http\Controllers\Admin\CommissionRuleController@destroy</t>
        </is>
      </c>
      <c r="G97" t="inlineStr" s="4">
        <is>
          <t>web, Illuminate\Auth\Middleware\Authenticate, Illuminate\Auth\Middleware\EnsureEmailIsVerified, App\Http\Middleware\EnsureAdmin, App\Http\Middleware\LogAdminActivity</t>
        </is>
      </c>
    </row>
    <row r="98" ht="22" customHeight="1">
      <c r="A98" t="inlineStr" s="4">
        <is>
          <t>GET|HEAD</t>
        </is>
      </c>
      <c r="B98" t="inlineStr" s="4">
        <is>
          <t>admin/finance/payouts</t>
        </is>
      </c>
      <c r="C98" t="inlineStr" s="4">
        <is>
          <t>admin.payouts.index</t>
        </is>
      </c>
      <c r="D98" t="inlineStr" s="4">
        <is>
          <t>Admin Finance</t>
        </is>
      </c>
      <c r="E98" t="inlineStr" s="4">
        <is>
          <t>Admin</t>
        </is>
      </c>
      <c r="F98" t="inlineStr" s="4">
        <is>
          <t>App\Http\Controllers\Admin\PayoutController@index</t>
        </is>
      </c>
      <c r="G98" t="inlineStr" s="4">
        <is>
          <t>web, Illuminate\Auth\Middleware\Authenticate, Illuminate\Auth\Middleware\EnsureEmailIsVerified, App\Http\Middleware\EnsureAdmin, App\Http\Middleware\LogAdminActivity</t>
        </is>
      </c>
    </row>
    <row r="99" ht="22" customHeight="1">
      <c r="A99" t="inlineStr" s="4">
        <is>
          <t>POST</t>
        </is>
      </c>
      <c r="B99" t="inlineStr" s="4">
        <is>
          <t>admin/finance/payouts</t>
        </is>
      </c>
      <c r="C99" t="inlineStr" s="4">
        <is>
          <t>admin.payouts.store</t>
        </is>
      </c>
      <c r="D99" t="inlineStr" s="4">
        <is>
          <t>Admin Finance</t>
        </is>
      </c>
      <c r="E99" t="inlineStr" s="4">
        <is>
          <t>Admin</t>
        </is>
      </c>
      <c r="F99" t="inlineStr" s="4">
        <is>
          <t>App\Http\Controllers\Admin\PayoutController@store</t>
        </is>
      </c>
      <c r="G99" t="inlineStr" s="4">
        <is>
          <t>web, Illuminate\Auth\Middleware\Authenticate, Illuminate\Auth\Middleware\EnsureEmailIsVerified, App\Http\Middleware\EnsureAdmin, App\Http\Middleware\LogAdminActivity</t>
        </is>
      </c>
    </row>
    <row r="100" ht="22" customHeight="1">
      <c r="A100" t="inlineStr" s="4">
        <is>
          <t>GET|HEAD</t>
        </is>
      </c>
      <c r="B100" t="inlineStr" s="4">
        <is>
          <t>admin/finance/payouts/create</t>
        </is>
      </c>
      <c r="C100" t="inlineStr" s="4">
        <is>
          <t>admin.payouts.create</t>
        </is>
      </c>
      <c r="D100" t="inlineStr" s="4">
        <is>
          <t>Admin Finance</t>
        </is>
      </c>
      <c r="E100" t="inlineStr" s="4">
        <is>
          <t>Admin</t>
        </is>
      </c>
      <c r="F100" t="inlineStr" s="4">
        <is>
          <t>App\Http\Controllers\Admin\PayoutController@create</t>
        </is>
      </c>
      <c r="G100" t="inlineStr" s="4">
        <is>
          <t>web, Illuminate\Auth\Middleware\Authenticate, Illuminate\Auth\Middleware\EnsureEmailIsVerified, App\Http\Middleware\EnsureAdmin, App\Http\Middleware\LogAdminActivity</t>
        </is>
      </c>
    </row>
    <row r="101" ht="22" customHeight="1">
      <c r="A101" t="inlineStr" s="4">
        <is>
          <t>POST</t>
        </is>
      </c>
      <c r="B101" t="inlineStr" s="4">
        <is>
          <t>admin/finance/payouts/{payout}/approve</t>
        </is>
      </c>
      <c r="C101" t="inlineStr" s="4">
        <is>
          <t>admin.payouts.approve</t>
        </is>
      </c>
      <c r="D101" t="inlineStr" s="4">
        <is>
          <t>Admin Finance</t>
        </is>
      </c>
      <c r="E101" t="inlineStr" s="4">
        <is>
          <t>Admin</t>
        </is>
      </c>
      <c r="F101" t="inlineStr" s="4">
        <is>
          <t>App\Http\Controllers\Admin\PayoutController@approve</t>
        </is>
      </c>
      <c r="G101" t="inlineStr" s="4">
        <is>
          <t>web, Illuminate\Auth\Middleware\Authenticate, Illuminate\Auth\Middleware\EnsureEmailIsVerified, App\Http\Middleware\EnsureAdmin, App\Http\Middleware\LogAdminActivity</t>
        </is>
      </c>
    </row>
    <row r="102" ht="22" customHeight="1">
      <c r="A102" t="inlineStr" s="4">
        <is>
          <t>POST</t>
        </is>
      </c>
      <c r="B102" t="inlineStr" s="4">
        <is>
          <t>admin/finance/payouts/{payout}/transfer</t>
        </is>
      </c>
      <c r="C102" t="inlineStr" s="4">
        <is>
          <t>admin.payouts.transfer</t>
        </is>
      </c>
      <c r="D102" t="inlineStr" s="4">
        <is>
          <t>Admin Finance</t>
        </is>
      </c>
      <c r="E102" t="inlineStr" s="4">
        <is>
          <t>Admin</t>
        </is>
      </c>
      <c r="F102" t="inlineStr" s="4">
        <is>
          <t>App\Http\Controllers\Admin\PayoutController@transfer</t>
        </is>
      </c>
      <c r="G102" t="inlineStr" s="4">
        <is>
          <t>web, Illuminate\Auth\Middleware\Authenticate, Illuminate\Auth\Middleware\EnsureEmailIsVerified, App\Http\Middleware\EnsureAdmin, App\Http\Middleware\LogAdminActivity</t>
        </is>
      </c>
    </row>
    <row r="103" ht="22" customHeight="1">
      <c r="A103" t="inlineStr" s="4">
        <is>
          <t>GET|HEAD</t>
        </is>
      </c>
      <c r="B103" t="inlineStr" s="4">
        <is>
          <t>admin/finance/reports</t>
        </is>
      </c>
      <c r="C103" t="inlineStr" s="4">
        <is>
          <t>admin.finance.reports.index</t>
        </is>
      </c>
      <c r="D103" t="inlineStr" s="4">
        <is>
          <t>Admin Finance</t>
        </is>
      </c>
      <c r="E103" t="inlineStr" s="4">
        <is>
          <t>Admin</t>
        </is>
      </c>
      <c r="F103" t="inlineStr" s="4">
        <is>
          <t>App\Http\Controllers\Admin\FinanceReportController@index</t>
        </is>
      </c>
      <c r="G103" t="inlineStr" s="4">
        <is>
          <t>web, Illuminate\Auth\Middleware\Authenticate, Illuminate\Auth\Middleware\EnsureEmailIsVerified, App\Http\Middleware\EnsureAdmin, App\Http\Middleware\LogAdminActivity</t>
        </is>
      </c>
    </row>
    <row r="104" ht="22" customHeight="1">
      <c r="A104" t="inlineStr" s="4">
        <is>
          <t>GET|HEAD</t>
        </is>
      </c>
      <c r="B104" t="inlineStr" s="4">
        <is>
          <t>admin/hotel/exceptions</t>
        </is>
      </c>
      <c r="C104" t="inlineStr" s="4">
        <is>
          <t>admin.hotel.exceptions.index</t>
        </is>
      </c>
      <c r="D104" t="inlineStr" s="4">
        <is>
          <t>Other / Legacy / Shared</t>
        </is>
      </c>
      <c r="E104" t="inlineStr" s="4">
        <is>
          <t>Admin</t>
        </is>
      </c>
      <c r="F104" t="inlineStr" s="4">
        <is>
          <t>App\Http\Controllers\Admin\BookingController@exceptions</t>
        </is>
      </c>
      <c r="G104" t="inlineStr" s="4">
        <is>
          <t>web, Illuminate\Auth\Middleware\Authenticate, Illuminate\Auth\Middleware\EnsureEmailIsVerified, App\Http\Middleware\EnsureAdmin, App\Http\Middleware\LogAdminActivity</t>
        </is>
      </c>
    </row>
    <row r="105" ht="22" customHeight="1">
      <c r="A105" t="inlineStr" s="4">
        <is>
          <t>GET|HEAD</t>
        </is>
      </c>
      <c r="B105" t="inlineStr" s="4">
        <is>
          <t>admin/marketing/vouchers</t>
        </is>
      </c>
      <c r="C105" t="inlineStr" s="4">
        <is>
          <t>admin.vouchers.index</t>
        </is>
      </c>
      <c r="D105" t="inlineStr" s="4">
        <is>
          <t>Other / Legacy / Shared</t>
        </is>
      </c>
      <c r="E105" t="inlineStr" s="4">
        <is>
          <t>Admin</t>
        </is>
      </c>
      <c r="F105" t="inlineStr" s="4">
        <is>
          <t>App\Http\Controllers\Admin\VoucherController@index</t>
        </is>
      </c>
      <c r="G105" t="inlineStr" s="4">
        <is>
          <t>web, Illuminate\Auth\Middleware\Authenticate, Illuminate\Auth\Middleware\EnsureEmailIsVerified, App\Http\Middleware\EnsureAdmin, App\Http\Middleware\LogAdminActivity</t>
        </is>
      </c>
    </row>
    <row r="106" ht="22" customHeight="1">
      <c r="A106" t="inlineStr" s="4">
        <is>
          <t>POST</t>
        </is>
      </c>
      <c r="B106" t="inlineStr" s="4">
        <is>
          <t>admin/marketing/vouchers</t>
        </is>
      </c>
      <c r="C106" t="inlineStr" s="4">
        <is>
          <t>admin.vouchers.store</t>
        </is>
      </c>
      <c r="D106" t="inlineStr" s="4">
        <is>
          <t>Other / Legacy / Shared</t>
        </is>
      </c>
      <c r="E106" t="inlineStr" s="4">
        <is>
          <t>Admin</t>
        </is>
      </c>
      <c r="F106" t="inlineStr" s="4">
        <is>
          <t>App\Http\Controllers\Admin\VoucherController@store</t>
        </is>
      </c>
      <c r="G106" t="inlineStr" s="4">
        <is>
          <t>web, Illuminate\Auth\Middleware\Authenticate, Illuminate\Auth\Middleware\EnsureEmailIsVerified, App\Http\Middleware\EnsureAdmin, App\Http\Middleware\LogAdminActivity</t>
        </is>
      </c>
    </row>
    <row r="107" ht="22" customHeight="1">
      <c r="A107" t="inlineStr" s="4">
        <is>
          <t>PUT</t>
        </is>
      </c>
      <c r="B107" t="inlineStr" s="4">
        <is>
          <t>admin/marketing/vouchers/{voucher}</t>
        </is>
      </c>
      <c r="C107" t="inlineStr" s="4">
        <is>
          <t>admin.vouchers.update</t>
        </is>
      </c>
      <c r="D107" t="inlineStr" s="4">
        <is>
          <t>Other / Legacy / Shared</t>
        </is>
      </c>
      <c r="E107" t="inlineStr" s="4">
        <is>
          <t>Admin</t>
        </is>
      </c>
      <c r="F107" t="inlineStr" s="4">
        <is>
          <t>App\Http\Controllers\Admin\VoucherController@update</t>
        </is>
      </c>
      <c r="G107" t="inlineStr" s="4">
        <is>
          <t>web, Illuminate\Auth\Middleware\Authenticate, Illuminate\Auth\Middleware\EnsureEmailIsVerified, App\Http\Middleware\EnsureAdmin, App\Http\Middleware\LogAdminActivity</t>
        </is>
      </c>
    </row>
    <row r="108" ht="22" customHeight="1">
      <c r="A108" t="inlineStr" s="4">
        <is>
          <t>DELETE</t>
        </is>
      </c>
      <c r="B108" t="inlineStr" s="4">
        <is>
          <t>admin/marketing/vouchers/{voucher}</t>
        </is>
      </c>
      <c r="C108" t="inlineStr" s="4">
        <is>
          <t>admin.vouchers.destroy</t>
        </is>
      </c>
      <c r="D108" t="inlineStr" s="4">
        <is>
          <t>Other / Legacy / Shared</t>
        </is>
      </c>
      <c r="E108" t="inlineStr" s="4">
        <is>
          <t>Admin</t>
        </is>
      </c>
      <c r="F108" t="inlineStr" s="4">
        <is>
          <t>App\Http\Controllers\Admin\VoucherController@destroy</t>
        </is>
      </c>
      <c r="G108" t="inlineStr" s="4">
        <is>
          <t>web, Illuminate\Auth\Middleware\Authenticate, Illuminate\Auth\Middleware\EnsureEmailIsVerified, App\Http\Middleware\EnsureAdmin, App\Http\Middleware\LogAdminActivity</t>
        </is>
      </c>
    </row>
    <row r="109" ht="22" customHeight="1">
      <c r="A109" t="inlineStr" s="4">
        <is>
          <t>GET|HEAD</t>
        </is>
      </c>
      <c r="B109" t="inlineStr" s="4">
        <is>
          <t>admin/mitra</t>
        </is>
      </c>
      <c r="C109" t="inlineStr" s="4">
        <is>
          <t>admin.mitra.index</t>
        </is>
      </c>
      <c r="D109" t="inlineStr" s="4">
        <is>
          <t>Admin Mitra</t>
        </is>
      </c>
      <c r="E109" t="inlineStr" s="4">
        <is>
          <t>Admin</t>
        </is>
      </c>
      <c r="F109" t="inlineStr" s="4">
        <is>
          <t>App\Http\Controllers\Admin\MitraController@index</t>
        </is>
      </c>
      <c r="G109" t="inlineStr" s="4">
        <is>
          <t>web, Illuminate\Auth\Middleware\Authenticate, Illuminate\Auth\Middleware\EnsureEmailIsVerified, App\Http\Middleware\EnsureAdmin, App\Http\Middleware\LogAdminActivity</t>
        </is>
      </c>
    </row>
    <row r="110" ht="22" customHeight="1">
      <c r="A110" t="inlineStr" s="4">
        <is>
          <t>POST</t>
        </is>
      </c>
      <c r="B110" t="inlineStr" s="4">
        <is>
          <t>admin/mitra</t>
        </is>
      </c>
      <c r="C110" t="inlineStr" s="4">
        <is>
          <t>admin.mitra.store</t>
        </is>
      </c>
      <c r="D110" t="inlineStr" s="4">
        <is>
          <t>Admin Mitra</t>
        </is>
      </c>
      <c r="E110" t="inlineStr" s="4">
        <is>
          <t>Admin</t>
        </is>
      </c>
      <c r="F110" t="inlineStr" s="4">
        <is>
          <t>App\Http\Controllers\Admin\MitraController@store</t>
        </is>
      </c>
      <c r="G110" t="inlineStr" s="4">
        <is>
          <t>web, Illuminate\Auth\Middleware\Authenticate, Illuminate\Auth\Middleware\EnsureEmailIsVerified, App\Http\Middleware\EnsureAdmin, App\Http\Middleware\LogAdminActivity</t>
        </is>
      </c>
    </row>
    <row r="111" ht="22" customHeight="1">
      <c r="A111" t="inlineStr" s="4">
        <is>
          <t>GET|HEAD</t>
        </is>
      </c>
      <c r="B111" t="inlineStr" s="4">
        <is>
          <t>admin/mitra-documents</t>
        </is>
      </c>
      <c r="C111" t="inlineStr" s="4">
        <is>
          <t>admin.mitra-documents.index</t>
        </is>
      </c>
      <c r="D111" t="inlineStr" s="4">
        <is>
          <t>Admin Mitra</t>
        </is>
      </c>
      <c r="E111" t="inlineStr" s="4">
        <is>
          <t>Admin</t>
        </is>
      </c>
      <c r="F111" t="inlineStr" s="4">
        <is>
          <t>App\Http\Controllers\Admin\PartnerTermsDocumentController@index</t>
        </is>
      </c>
      <c r="G111" t="inlineStr" s="4">
        <is>
          <t>web, Illuminate\Auth\Middleware\Authenticate, Illuminate\Auth\Middleware\EnsureEmailIsVerified, App\Http\Middleware\EnsureAdmin, App\Http\Middleware\LogAdminActivity</t>
        </is>
      </c>
    </row>
    <row r="112" ht="22" customHeight="1">
      <c r="A112" t="inlineStr" s="4">
        <is>
          <t>POST</t>
        </is>
      </c>
      <c r="B112" t="inlineStr" s="4">
        <is>
          <t>admin/mitra-documents</t>
        </is>
      </c>
      <c r="C112" t="inlineStr" s="4">
        <is>
          <t>admin.mitra-documents.store</t>
        </is>
      </c>
      <c r="D112" t="inlineStr" s="4">
        <is>
          <t>Admin Mitra</t>
        </is>
      </c>
      <c r="E112" t="inlineStr" s="4">
        <is>
          <t>Admin</t>
        </is>
      </c>
      <c r="F112" t="inlineStr" s="4">
        <is>
          <t>App\Http\Controllers\Admin\PartnerTermsDocumentController@store</t>
        </is>
      </c>
      <c r="G112" t="inlineStr" s="4">
        <is>
          <t>web, Illuminate\Auth\Middleware\Authenticate, Illuminate\Auth\Middleware\EnsureEmailIsVerified, App\Http\Middleware\EnsureAdmin, App\Http\Middleware\LogAdminActivity</t>
        </is>
      </c>
    </row>
    <row r="113" ht="22" customHeight="1">
      <c r="A113" t="inlineStr" s="4">
        <is>
          <t>GET|HEAD</t>
        </is>
      </c>
      <c r="B113" t="inlineStr" s="4">
        <is>
          <t>admin/mitra-wisata</t>
        </is>
      </c>
      <c r="C113" t="inlineStr" s="4">
        <is>
          <t>admin.mitra-wisata.index</t>
        </is>
      </c>
      <c r="D113" t="inlineStr" s="4">
        <is>
          <t>Admin Mitra</t>
        </is>
      </c>
      <c r="E113" t="inlineStr" s="4">
        <is>
          <t>Admin</t>
        </is>
      </c>
      <c r="F113" t="inlineStr" s="4">
        <is>
          <t>App\Http\Controllers\Admin\MitraWisataController@index</t>
        </is>
      </c>
      <c r="G113" t="inlineStr" s="4">
        <is>
          <t>web, Illuminate\Auth\Middleware\Authenticate, Illuminate\Auth\Middleware\EnsureEmailIsVerified, App\Http\Middleware\EnsureAdmin, App\Http\Middleware\LogAdminActivity</t>
        </is>
      </c>
    </row>
    <row r="114" ht="22" customHeight="1">
      <c r="A114" t="inlineStr" s="4">
        <is>
          <t>POST</t>
        </is>
      </c>
      <c r="B114" t="inlineStr" s="4">
        <is>
          <t>admin/mitra-wisata</t>
        </is>
      </c>
      <c r="C114" t="inlineStr" s="4">
        <is>
          <t>admin.mitra-wisata.store</t>
        </is>
      </c>
      <c r="D114" t="inlineStr" s="4">
        <is>
          <t>Admin Mitra</t>
        </is>
      </c>
      <c r="E114" t="inlineStr" s="4">
        <is>
          <t>Admin</t>
        </is>
      </c>
      <c r="F114" t="inlineStr" s="4">
        <is>
          <t>App\Http\Controllers\Admin\MitraWisataController@store</t>
        </is>
      </c>
      <c r="G114" t="inlineStr" s="4">
        <is>
          <t>web, Illuminate\Auth\Middleware\Authenticate, Illuminate\Auth\Middleware\EnsureEmailIsVerified, App\Http\Middleware\EnsureAdmin, App\Http\Middleware\LogAdminActivity</t>
        </is>
      </c>
    </row>
    <row r="115" ht="22" customHeight="1">
      <c r="A115" t="inlineStr" s="4">
        <is>
          <t>GET|HEAD</t>
        </is>
      </c>
      <c r="B115" t="inlineStr" s="4">
        <is>
          <t>admin/mitra-wisata/{user}</t>
        </is>
      </c>
      <c r="C115" t="inlineStr" s="4">
        <is>
          <t>admin.mitra-wisata.show</t>
        </is>
      </c>
      <c r="D115" t="inlineStr" s="4">
        <is>
          <t>Admin Mitra</t>
        </is>
      </c>
      <c r="E115" t="inlineStr" s="4">
        <is>
          <t>Admin</t>
        </is>
      </c>
      <c r="F115" t="inlineStr" s="4">
        <is>
          <t>App\Http\Controllers\Admin\MitraWisataController@show</t>
        </is>
      </c>
      <c r="G115" t="inlineStr" s="4">
        <is>
          <t>web, Illuminate\Auth\Middleware\Authenticate, Illuminate\Auth\Middleware\EnsureEmailIsVerified, App\Http\Middleware\EnsureAdmin, App\Http\Middleware\LogAdminActivity</t>
        </is>
      </c>
    </row>
    <row r="116" ht="22" customHeight="1">
      <c r="A116" t="inlineStr" s="4">
        <is>
          <t>DELETE</t>
        </is>
      </c>
      <c r="B116" t="inlineStr" s="4">
        <is>
          <t>admin/mitra-wisata/{user}</t>
        </is>
      </c>
      <c r="C116" t="inlineStr" s="4">
        <is>
          <t>admin.mitra-wisata.destroy</t>
        </is>
      </c>
      <c r="D116" t="inlineStr" s="4">
        <is>
          <t>Admin Mitra</t>
        </is>
      </c>
      <c r="E116" t="inlineStr" s="4">
        <is>
          <t>Admin</t>
        </is>
      </c>
      <c r="F116" t="inlineStr" s="4">
        <is>
          <t>App\Http\Controllers\Admin\MitraWisataController@destroy</t>
        </is>
      </c>
      <c r="G116" t="inlineStr" s="4">
        <is>
          <t>web, Illuminate\Auth\Middleware\Authenticate, Illuminate\Auth\Middleware\EnsureEmailIsVerified, App\Http\Middleware\EnsureAdmin, App\Http\Middleware\LogAdminActivity</t>
        </is>
      </c>
    </row>
    <row r="117" ht="22" customHeight="1">
      <c r="A117" t="inlineStr" s="4">
        <is>
          <t>POST</t>
        </is>
      </c>
      <c r="B117" t="inlineStr" s="4">
        <is>
          <t>admin/mitra-wisata/{user}/payout</t>
        </is>
      </c>
      <c r="C117" t="inlineStr" s="4">
        <is>
          <t>admin.mitra-wisata.payout</t>
        </is>
      </c>
      <c r="D117" t="inlineStr" s="4">
        <is>
          <t>Admin Mitra</t>
        </is>
      </c>
      <c r="E117" t="inlineStr" s="4">
        <is>
          <t>Admin</t>
        </is>
      </c>
      <c r="F117" t="inlineStr" s="4">
        <is>
          <t>App\Http\Controllers\Admin\MitraWisataController@payout</t>
        </is>
      </c>
      <c r="G117" t="inlineStr" s="4">
        <is>
          <t>web, Illuminate\Auth\Middleware\Authenticate, Illuminate\Auth\Middleware\EnsureEmailIsVerified, App\Http\Middleware\EnsureAdmin, App\Http\Middleware\LogAdminActivity</t>
        </is>
      </c>
    </row>
    <row r="118" ht="22" customHeight="1">
      <c r="A118" t="inlineStr" s="4">
        <is>
          <t>POST</t>
        </is>
      </c>
      <c r="B118" t="inlineStr" s="4">
        <is>
          <t>admin/mitra-wisata/{user}/suspend</t>
        </is>
      </c>
      <c r="C118" t="inlineStr" s="4">
        <is>
          <t>admin.mitra-wisata.suspend</t>
        </is>
      </c>
      <c r="D118" t="inlineStr" s="4">
        <is>
          <t>Admin Mitra</t>
        </is>
      </c>
      <c r="E118" t="inlineStr" s="4">
        <is>
          <t>Admin</t>
        </is>
      </c>
      <c r="F118" t="inlineStr" s="4">
        <is>
          <t>App\Http\Controllers\Admin\MitraWisataController@suspend</t>
        </is>
      </c>
      <c r="G118" t="inlineStr" s="4">
        <is>
          <t>web, Illuminate\Auth\Middleware\Authenticate, Illuminate\Auth\Middleware\EnsureEmailIsVerified, App\Http\Middleware\EnsureAdmin, App\Http\Middleware\LogAdminActivity</t>
        </is>
      </c>
    </row>
    <row r="119" ht="22" customHeight="1">
      <c r="A119" t="inlineStr" s="4">
        <is>
          <t>POST</t>
        </is>
      </c>
      <c r="B119" t="inlineStr" s="4">
        <is>
          <t>admin/mitra-wisata/{user}/verify</t>
        </is>
      </c>
      <c r="C119" t="inlineStr" s="4">
        <is>
          <t>admin.mitra-wisata.verify</t>
        </is>
      </c>
      <c r="D119" t="inlineStr" s="4">
        <is>
          <t>Admin Mitra</t>
        </is>
      </c>
      <c r="E119" t="inlineStr" s="4">
        <is>
          <t>Admin</t>
        </is>
      </c>
      <c r="F119" t="inlineStr" s="4">
        <is>
          <t>App\Http\Controllers\Admin\MitraWisataController@verify</t>
        </is>
      </c>
      <c r="G119" t="inlineStr" s="4">
        <is>
          <t>web, Illuminate\Auth\Middleware\Authenticate, Illuminate\Auth\Middleware\EnsureEmailIsVerified, App\Http\Middleware\EnsureAdmin, App\Http\Middleware\LogAdminActivity</t>
        </is>
      </c>
    </row>
    <row r="120" ht="22" customHeight="1">
      <c r="A120" t="inlineStr" s="4">
        <is>
          <t>PUT</t>
        </is>
      </c>
      <c r="B120" t="inlineStr" s="4">
        <is>
          <t>admin/mitra/{user}</t>
        </is>
      </c>
      <c r="C120" t="inlineStr" s="4">
        <is>
          <t>admin.mitra.update</t>
        </is>
      </c>
      <c r="D120" t="inlineStr" s="4">
        <is>
          <t>Admin Mitra</t>
        </is>
      </c>
      <c r="E120" t="inlineStr" s="4">
        <is>
          <t>Admin</t>
        </is>
      </c>
      <c r="F120" t="inlineStr" s="4">
        <is>
          <t>App\Http\Controllers\Admin\MitraController@update</t>
        </is>
      </c>
      <c r="G120" t="inlineStr" s="4">
        <is>
          <t>web, Illuminate\Auth\Middleware\Authenticate, Illuminate\Auth\Middleware\EnsureEmailIsVerified, App\Http\Middleware\EnsureAdmin, App\Http\Middleware\LogAdminActivity</t>
        </is>
      </c>
    </row>
    <row r="121" ht="22" customHeight="1">
      <c r="A121" t="inlineStr" s="4">
        <is>
          <t>GET|HEAD</t>
        </is>
      </c>
      <c r="B121" t="inlineStr" s="4">
        <is>
          <t>admin/mitra/{user}</t>
        </is>
      </c>
      <c r="C121" t="inlineStr" s="4">
        <is>
          <t>admin.mitra.show</t>
        </is>
      </c>
      <c r="D121" t="inlineStr" s="4">
        <is>
          <t>Admin Mitra</t>
        </is>
      </c>
      <c r="E121" t="inlineStr" s="4">
        <is>
          <t>Admin</t>
        </is>
      </c>
      <c r="F121" t="inlineStr" s="4">
        <is>
          <t>App\Http\Controllers\Admin\MitraController@show</t>
        </is>
      </c>
      <c r="G121" t="inlineStr" s="4">
        <is>
          <t>web, Illuminate\Auth\Middleware\Authenticate, Illuminate\Auth\Middleware\EnsureEmailIsVerified, App\Http\Middleware\EnsureAdmin, App\Http\Middleware\LogAdminActivity</t>
        </is>
      </c>
    </row>
    <row r="122" ht="22" customHeight="1">
      <c r="A122" t="inlineStr" s="4">
        <is>
          <t>DELETE</t>
        </is>
      </c>
      <c r="B122" t="inlineStr" s="4">
        <is>
          <t>admin/mitra/{user}</t>
        </is>
      </c>
      <c r="C122" t="inlineStr" s="4">
        <is>
          <t>admin.mitra.destroy</t>
        </is>
      </c>
      <c r="D122" t="inlineStr" s="4">
        <is>
          <t>Admin Mitra</t>
        </is>
      </c>
      <c r="E122" t="inlineStr" s="4">
        <is>
          <t>Admin</t>
        </is>
      </c>
      <c r="F122" t="inlineStr" s="4">
        <is>
          <t>App\Http\Controllers\Admin\MitraController@destroy</t>
        </is>
      </c>
      <c r="G122" t="inlineStr" s="4">
        <is>
          <t>web, Illuminate\Auth\Middleware\Authenticate, Illuminate\Auth\Middleware\EnsureEmailIsVerified, App\Http\Middleware\EnsureAdmin, App\Http\Middleware\LogAdminActivity</t>
        </is>
      </c>
    </row>
    <row r="123" ht="22" customHeight="1">
      <c r="A123" t="inlineStr" s="4">
        <is>
          <t>POST</t>
        </is>
      </c>
      <c r="B123" t="inlineStr" s="4">
        <is>
          <t>admin/mitra/{user}/payout</t>
        </is>
      </c>
      <c r="C123" t="inlineStr" s="4">
        <is>
          <t>admin.mitra.payout</t>
        </is>
      </c>
      <c r="D123" t="inlineStr" s="4">
        <is>
          <t>Admin Mitra</t>
        </is>
      </c>
      <c r="E123" t="inlineStr" s="4">
        <is>
          <t>Admin</t>
        </is>
      </c>
      <c r="F123" t="inlineStr" s="4">
        <is>
          <t>App\Http\Controllers\Admin\MitraController@payout</t>
        </is>
      </c>
      <c r="G123" t="inlineStr" s="4">
        <is>
          <t>web, Illuminate\Auth\Middleware\Authenticate, Illuminate\Auth\Middleware\EnsureEmailIsVerified, App\Http\Middleware\EnsureAdmin, App\Http\Middleware\LogAdminActivity</t>
        </is>
      </c>
    </row>
    <row r="124" ht="22" customHeight="1">
      <c r="A124" t="inlineStr" s="4">
        <is>
          <t>POST</t>
        </is>
      </c>
      <c r="B124" t="inlineStr" s="4">
        <is>
          <t>admin/mitra/{user}/suspend</t>
        </is>
      </c>
      <c r="C124" t="inlineStr" s="4">
        <is>
          <t>admin.mitra.suspend</t>
        </is>
      </c>
      <c r="D124" t="inlineStr" s="4">
        <is>
          <t>Admin Mitra</t>
        </is>
      </c>
      <c r="E124" t="inlineStr" s="4">
        <is>
          <t>Admin</t>
        </is>
      </c>
      <c r="F124" t="inlineStr" s="4">
        <is>
          <t>App\Http\Controllers\Admin\MitraController@suspend</t>
        </is>
      </c>
      <c r="G124" t="inlineStr" s="4">
        <is>
          <t>web, Illuminate\Auth\Middleware\Authenticate, Illuminate\Auth\Middleware\EnsureEmailIsVerified, App\Http\Middleware\EnsureAdmin, App\Http\Middleware\LogAdminActivity</t>
        </is>
      </c>
    </row>
    <row r="125" ht="22" customHeight="1">
      <c r="A125" t="inlineStr" s="4">
        <is>
          <t>POST</t>
        </is>
      </c>
      <c r="B125" t="inlineStr" s="4">
        <is>
          <t>admin/mitra/{user}/verify</t>
        </is>
      </c>
      <c r="C125" t="inlineStr" s="4">
        <is>
          <t>admin.mitra.verify</t>
        </is>
      </c>
      <c r="D125" t="inlineStr" s="4">
        <is>
          <t>Admin Mitra</t>
        </is>
      </c>
      <c r="E125" t="inlineStr" s="4">
        <is>
          <t>Admin</t>
        </is>
      </c>
      <c r="F125" t="inlineStr" s="4">
        <is>
          <t>App\Http\Controllers\Admin\MitraController@verify</t>
        </is>
      </c>
      <c r="G125" t="inlineStr" s="4">
        <is>
          <t>web, Illuminate\Auth\Middleware\Authenticate, Illuminate\Auth\Middleware\EnsureEmailIsVerified, App\Http\Middleware\EnsureAdmin, App\Http\Middleware\LogAdminActivity</t>
        </is>
      </c>
    </row>
    <row r="126" ht="22" customHeight="1">
      <c r="A126" t="inlineStr" s="4">
        <is>
          <t>GET|HEAD</t>
        </is>
      </c>
      <c r="B126" t="inlineStr" s="4">
        <is>
          <t>admin/public/about</t>
        </is>
      </c>
      <c r="C126" t="inlineStr" s="4">
        <is>
          <t>admin.public.about.edit</t>
        </is>
      </c>
      <c r="D126" t="inlineStr" s="4">
        <is>
          <t>Admin Public Content</t>
        </is>
      </c>
      <c r="E126" t="inlineStr" s="4">
        <is>
          <t>Admin</t>
        </is>
      </c>
      <c r="F126" t="inlineStr" s="4">
        <is>
          <t>App\Http\Controllers\Admin\AboutPageController@edit</t>
        </is>
      </c>
      <c r="G126" t="inlineStr" s="4">
        <is>
          <t>web, Illuminate\Auth\Middleware\Authenticate, Illuminate\Auth\Middleware\EnsureEmailIsVerified, App\Http\Middleware\EnsureAdmin, App\Http\Middleware\LogAdminActivity</t>
        </is>
      </c>
    </row>
    <row r="127" ht="22" customHeight="1">
      <c r="A127" t="inlineStr" s="4">
        <is>
          <t>PUT</t>
        </is>
      </c>
      <c r="B127" t="inlineStr" s="4">
        <is>
          <t>admin/public/about</t>
        </is>
      </c>
      <c r="C127" t="inlineStr" s="4">
        <is>
          <t>admin.public.about.update</t>
        </is>
      </c>
      <c r="D127" t="inlineStr" s="4">
        <is>
          <t>Admin Public Content</t>
        </is>
      </c>
      <c r="E127" t="inlineStr" s="4">
        <is>
          <t>Admin</t>
        </is>
      </c>
      <c r="F127" t="inlineStr" s="4">
        <is>
          <t>App\Http\Controllers\Admin\AboutPageController@update</t>
        </is>
      </c>
      <c r="G127" t="inlineStr" s="4">
        <is>
          <t>web, Illuminate\Auth\Middleware\Authenticate, Illuminate\Auth\Middleware\EnsureEmailIsVerified, App\Http\Middleware\EnsureAdmin, App\Http\Middleware\LogAdminActivity</t>
        </is>
      </c>
    </row>
    <row r="128" ht="22" customHeight="1">
      <c r="A128" t="inlineStr" s="4">
        <is>
          <t>GET|HEAD</t>
        </is>
      </c>
      <c r="B128" t="inlineStr" s="4">
        <is>
          <t>admin/public/banners</t>
        </is>
      </c>
      <c r="C128" t="inlineStr" s="4">
        <is>
          <t>admin.public.banners.index</t>
        </is>
      </c>
      <c r="D128" t="inlineStr" s="4">
        <is>
          <t>Admin Public Content</t>
        </is>
      </c>
      <c r="E128" t="inlineStr" s="4">
        <is>
          <t>Admin</t>
        </is>
      </c>
      <c r="F128" t="inlineStr" s="4">
        <is>
          <t>App\Http\Controllers\Admin\PublicBannerController@index</t>
        </is>
      </c>
      <c r="G128" t="inlineStr" s="4">
        <is>
          <t>web, Illuminate\Auth\Middleware\Authenticate, Illuminate\Auth\Middleware\EnsureEmailIsVerified, App\Http\Middleware\EnsureAdmin, App\Http\Middleware\LogAdminActivity</t>
        </is>
      </c>
    </row>
    <row r="129" ht="22" customHeight="1">
      <c r="A129" t="inlineStr" s="4">
        <is>
          <t>POST</t>
        </is>
      </c>
      <c r="B129" t="inlineStr" s="4">
        <is>
          <t>admin/public/banners</t>
        </is>
      </c>
      <c r="C129" t="inlineStr" s="4">
        <is>
          <t>admin.public.banners.store</t>
        </is>
      </c>
      <c r="D129" t="inlineStr" s="4">
        <is>
          <t>Admin Public Content</t>
        </is>
      </c>
      <c r="E129" t="inlineStr" s="4">
        <is>
          <t>Admin</t>
        </is>
      </c>
      <c r="F129" t="inlineStr" s="4">
        <is>
          <t>App\Http\Controllers\Admin\PublicBannerController@store</t>
        </is>
      </c>
      <c r="G129" t="inlineStr" s="4">
        <is>
          <t>web, Illuminate\Auth\Middleware\Authenticate, Illuminate\Auth\Middleware\EnsureEmailIsVerified, App\Http\Middleware\EnsureAdmin, App\Http\Middleware\LogAdminActivity</t>
        </is>
      </c>
    </row>
    <row r="130" ht="22" customHeight="1">
      <c r="A130" t="inlineStr" s="4">
        <is>
          <t>GET|HEAD</t>
        </is>
      </c>
      <c r="B130" t="inlineStr" s="4">
        <is>
          <t>admin/public/banners/create</t>
        </is>
      </c>
      <c r="C130" t="inlineStr" s="4">
        <is>
          <t>admin.public.banners.create</t>
        </is>
      </c>
      <c r="D130" t="inlineStr" s="4">
        <is>
          <t>Admin Public Content</t>
        </is>
      </c>
      <c r="E130" t="inlineStr" s="4">
        <is>
          <t>Admin</t>
        </is>
      </c>
      <c r="F130" t="inlineStr" s="4">
        <is>
          <t>App\Http\Controllers\Admin\PublicBannerController@create</t>
        </is>
      </c>
      <c r="G130" t="inlineStr" s="4">
        <is>
          <t>web, Illuminate\Auth\Middleware\Authenticate, Illuminate\Auth\Middleware\EnsureEmailIsVerified, App\Http\Middleware\EnsureAdmin, App\Http\Middleware\LogAdminActivity</t>
        </is>
      </c>
    </row>
    <row r="131" ht="22" customHeight="1">
      <c r="A131" t="inlineStr" s="4">
        <is>
          <t>PUT</t>
        </is>
      </c>
      <c r="B131" t="inlineStr" s="4">
        <is>
          <t>admin/public/banners/{banner}</t>
        </is>
      </c>
      <c r="C131" t="inlineStr" s="4">
        <is>
          <t>admin.public.banners.update</t>
        </is>
      </c>
      <c r="D131" t="inlineStr" s="4">
        <is>
          <t>Admin Public Content</t>
        </is>
      </c>
      <c r="E131" t="inlineStr" s="4">
        <is>
          <t>Admin</t>
        </is>
      </c>
      <c r="F131" t="inlineStr" s="4">
        <is>
          <t>App\Http\Controllers\Admin\PublicBannerController@update</t>
        </is>
      </c>
      <c r="G131" t="inlineStr" s="4">
        <is>
          <t>web, Illuminate\Auth\Middleware\Authenticate, Illuminate\Auth\Middleware\EnsureEmailIsVerified, App\Http\Middleware\EnsureAdmin, App\Http\Middleware\LogAdminActivity</t>
        </is>
      </c>
    </row>
    <row r="132" ht="22" customHeight="1">
      <c r="A132" t="inlineStr" s="4">
        <is>
          <t>DELETE</t>
        </is>
      </c>
      <c r="B132" t="inlineStr" s="4">
        <is>
          <t>admin/public/banners/{banner}</t>
        </is>
      </c>
      <c r="C132" t="inlineStr" s="4">
        <is>
          <t>admin.public.banners.destroy</t>
        </is>
      </c>
      <c r="D132" t="inlineStr" s="4">
        <is>
          <t>Admin Public Content</t>
        </is>
      </c>
      <c r="E132" t="inlineStr" s="4">
        <is>
          <t>Admin</t>
        </is>
      </c>
      <c r="F132" t="inlineStr" s="4">
        <is>
          <t>App\Http\Controllers\Admin\PublicBannerController@destroy</t>
        </is>
      </c>
      <c r="G132" t="inlineStr" s="4">
        <is>
          <t>web, Illuminate\Auth\Middleware\Authenticate, Illuminate\Auth\Middleware\EnsureEmailIsVerified, App\Http\Middleware\EnsureAdmin, App\Http\Middleware\LogAdminActivity</t>
        </is>
      </c>
    </row>
    <row r="133" ht="22" customHeight="1">
      <c r="A133" t="inlineStr" s="4">
        <is>
          <t>GET|HEAD</t>
        </is>
      </c>
      <c r="B133" t="inlineStr" s="4">
        <is>
          <t>admin/public/banners/{banner}/edit</t>
        </is>
      </c>
      <c r="C133" t="inlineStr" s="4">
        <is>
          <t>admin.public.banners.edit</t>
        </is>
      </c>
      <c r="D133" t="inlineStr" s="4">
        <is>
          <t>Admin Public Content</t>
        </is>
      </c>
      <c r="E133" t="inlineStr" s="4">
        <is>
          <t>Admin</t>
        </is>
      </c>
      <c r="F133" t="inlineStr" s="4">
        <is>
          <t>App\Http\Controllers\Admin\PublicBannerController@edit</t>
        </is>
      </c>
      <c r="G133" t="inlineStr" s="4">
        <is>
          <t>web, Illuminate\Auth\Middleware\Authenticate, Illuminate\Auth\Middleware\EnsureEmailIsVerified, App\Http\Middleware\EnsureAdmin, App\Http\Middleware\LogAdminActivity</t>
        </is>
      </c>
    </row>
    <row r="134" ht="22" customHeight="1">
      <c r="A134" t="inlineStr" s="4">
        <is>
          <t>GET|HEAD</t>
        </is>
      </c>
      <c r="B134" t="inlineStr" s="4">
        <is>
          <t>admin/public/contacts</t>
        </is>
      </c>
      <c r="C134" t="inlineStr" s="4">
        <is>
          <t>admin.public.contacts.edit</t>
        </is>
      </c>
      <c r="D134" t="inlineStr" s="4">
        <is>
          <t>Admin Public Content</t>
        </is>
      </c>
      <c r="E134" t="inlineStr" s="4">
        <is>
          <t>Admin</t>
        </is>
      </c>
      <c r="F134" t="inlineStr" s="4">
        <is>
          <t>App\Http\Controllers\Admin\PublicContactController@edit</t>
        </is>
      </c>
      <c r="G134" t="inlineStr" s="4">
        <is>
          <t>web, Illuminate\Auth\Middleware\Authenticate, Illuminate\Auth\Middleware\EnsureEmailIsVerified, App\Http\Middleware\EnsureAdmin, App\Http\Middleware\LogAdminActivity</t>
        </is>
      </c>
    </row>
    <row r="135" ht="22" customHeight="1">
      <c r="A135" t="inlineStr" s="4">
        <is>
          <t>PUT</t>
        </is>
      </c>
      <c r="B135" t="inlineStr" s="4">
        <is>
          <t>admin/public/contacts</t>
        </is>
      </c>
      <c r="C135" t="inlineStr" s="4">
        <is>
          <t>admin.public.contacts.update</t>
        </is>
      </c>
      <c r="D135" t="inlineStr" s="4">
        <is>
          <t>Admin Public Content</t>
        </is>
      </c>
      <c r="E135" t="inlineStr" s="4">
        <is>
          <t>Admin</t>
        </is>
      </c>
      <c r="F135" t="inlineStr" s="4">
        <is>
          <t>App\Http\Controllers\Admin\PublicContactController@update</t>
        </is>
      </c>
      <c r="G135" t="inlineStr" s="4">
        <is>
          <t>web, Illuminate\Auth\Middleware\Authenticate, Illuminate\Auth\Middleware\EnsureEmailIsVerified, App\Http\Middleware\EnsureAdmin, App\Http\Middleware\LogAdminActivity</t>
        </is>
      </c>
    </row>
    <row r="136" ht="22" customHeight="1">
      <c r="A136" t="inlineStr" s="4">
        <is>
          <t>GET|HEAD</t>
        </is>
      </c>
      <c r="B136" t="inlineStr" s="4">
        <is>
          <t>admin/public/entry-qr</t>
        </is>
      </c>
      <c r="C136" t="inlineStr" s="4">
        <is>
          <t>admin.public.entry-qr.edit</t>
        </is>
      </c>
      <c r="D136" t="inlineStr" s="4">
        <is>
          <t>Admin Public Content</t>
        </is>
      </c>
      <c r="E136" t="inlineStr" s="4">
        <is>
          <t>Admin</t>
        </is>
      </c>
      <c r="F136" t="inlineStr" s="4">
        <is>
          <t>App\Http\Controllers\Admin\WisataEntryQrTemplateController@edit</t>
        </is>
      </c>
      <c r="G136" t="inlineStr" s="4">
        <is>
          <t>web, Illuminate\Auth\Middleware\Authenticate, Illuminate\Auth\Middleware\EnsureEmailIsVerified, App\Http\Middleware\EnsureAdmin, App\Http\Middleware\LogAdminActivity</t>
        </is>
      </c>
    </row>
    <row r="137" ht="22" customHeight="1">
      <c r="A137" t="inlineStr" s="4">
        <is>
          <t>PUT</t>
        </is>
      </c>
      <c r="B137" t="inlineStr" s="4">
        <is>
          <t>admin/public/entry-qr</t>
        </is>
      </c>
      <c r="C137" t="inlineStr" s="4">
        <is>
          <t>admin.public.entry-qr.update</t>
        </is>
      </c>
      <c r="D137" t="inlineStr" s="4">
        <is>
          <t>Admin Public Content</t>
        </is>
      </c>
      <c r="E137" t="inlineStr" s="4">
        <is>
          <t>Admin</t>
        </is>
      </c>
      <c r="F137" t="inlineStr" s="4">
        <is>
          <t>App\Http\Controllers\Admin\WisataEntryQrTemplateController@update</t>
        </is>
      </c>
      <c r="G137" t="inlineStr" s="4">
        <is>
          <t>web, Illuminate\Auth\Middleware\Authenticate, Illuminate\Auth\Middleware\EnsureEmailIsVerified, App\Http\Middleware\EnsureAdmin, App\Http\Middleware\LogAdminActivity</t>
        </is>
      </c>
    </row>
    <row r="138" ht="22" customHeight="1">
      <c r="A138" t="inlineStr" s="4">
        <is>
          <t>GET|HEAD</t>
        </is>
      </c>
      <c r="B138" t="inlineStr" s="4">
        <is>
          <t>admin/public/faqs</t>
        </is>
      </c>
      <c r="C138" t="inlineStr" s="4">
        <is>
          <t>admin.public.faqs.index</t>
        </is>
      </c>
      <c r="D138" t="inlineStr" s="4">
        <is>
          <t>Admin Public Content</t>
        </is>
      </c>
      <c r="E138" t="inlineStr" s="4">
        <is>
          <t>Admin</t>
        </is>
      </c>
      <c r="F138" t="inlineStr" s="4">
        <is>
          <t>App\Http\Controllers\Admin\FaqController@index</t>
        </is>
      </c>
      <c r="G138" t="inlineStr" s="4">
        <is>
          <t>web, Illuminate\Auth\Middleware\Authenticate, Illuminate\Auth\Middleware\EnsureEmailIsVerified, App\Http\Middleware\EnsureAdmin, App\Http\Middleware\LogAdminActivity</t>
        </is>
      </c>
    </row>
    <row r="139" ht="22" customHeight="1">
      <c r="A139" t="inlineStr" s="4">
        <is>
          <t>POST</t>
        </is>
      </c>
      <c r="B139" t="inlineStr" s="4">
        <is>
          <t>admin/public/faqs</t>
        </is>
      </c>
      <c r="C139" t="inlineStr" s="4">
        <is>
          <t>admin.public.faqs.store</t>
        </is>
      </c>
      <c r="D139" t="inlineStr" s="4">
        <is>
          <t>Admin Public Content</t>
        </is>
      </c>
      <c r="E139" t="inlineStr" s="4">
        <is>
          <t>Admin</t>
        </is>
      </c>
      <c r="F139" t="inlineStr" s="4">
        <is>
          <t>App\Http\Controllers\Admin\FaqController@store</t>
        </is>
      </c>
      <c r="G139" t="inlineStr" s="4">
        <is>
          <t>web, Illuminate\Auth\Middleware\Authenticate, Illuminate\Auth\Middleware\EnsureEmailIsVerified, App\Http\Middleware\EnsureAdmin, App\Http\Middleware\LogAdminActivity</t>
        </is>
      </c>
    </row>
    <row r="140" ht="22" customHeight="1">
      <c r="A140" t="inlineStr" s="4">
        <is>
          <t>GET|HEAD</t>
        </is>
      </c>
      <c r="B140" t="inlineStr" s="4">
        <is>
          <t>admin/public/faqs/create</t>
        </is>
      </c>
      <c r="C140" t="inlineStr" s="4">
        <is>
          <t>admin.public.faqs.create</t>
        </is>
      </c>
      <c r="D140" t="inlineStr" s="4">
        <is>
          <t>Admin Public Content</t>
        </is>
      </c>
      <c r="E140" t="inlineStr" s="4">
        <is>
          <t>Admin</t>
        </is>
      </c>
      <c r="F140" t="inlineStr" s="4">
        <is>
          <t>App\Http\Controllers\Admin\FaqController@create</t>
        </is>
      </c>
      <c r="G140" t="inlineStr" s="4">
        <is>
          <t>web, Illuminate\Auth\Middleware\Authenticate, Illuminate\Auth\Middleware\EnsureEmailIsVerified, App\Http\Middleware\EnsureAdmin, App\Http\Middleware\LogAdminActivity</t>
        </is>
      </c>
    </row>
    <row r="141" ht="22" customHeight="1">
      <c r="A141" t="inlineStr" s="4">
        <is>
          <t>PUT</t>
        </is>
      </c>
      <c r="B141" t="inlineStr" s="4">
        <is>
          <t>admin/public/faqs/{faq}</t>
        </is>
      </c>
      <c r="C141" t="inlineStr" s="4">
        <is>
          <t>admin.public.faqs.update</t>
        </is>
      </c>
      <c r="D141" t="inlineStr" s="4">
        <is>
          <t>Admin Public Content</t>
        </is>
      </c>
      <c r="E141" t="inlineStr" s="4">
        <is>
          <t>Admin</t>
        </is>
      </c>
      <c r="F141" t="inlineStr" s="4">
        <is>
          <t>App\Http\Controllers\Admin\FaqController@update</t>
        </is>
      </c>
      <c r="G141" t="inlineStr" s="4">
        <is>
          <t>web, Illuminate\Auth\Middleware\Authenticate, Illuminate\Auth\Middleware\EnsureEmailIsVerified, App\Http\Middleware\EnsureAdmin, App\Http\Middleware\LogAdminActivity</t>
        </is>
      </c>
    </row>
    <row r="142" ht="22" customHeight="1">
      <c r="A142" t="inlineStr" s="4">
        <is>
          <t>DELETE</t>
        </is>
      </c>
      <c r="B142" t="inlineStr" s="4">
        <is>
          <t>admin/public/faqs/{faq}</t>
        </is>
      </c>
      <c r="C142" t="inlineStr" s="4">
        <is>
          <t>admin.public.faqs.destroy</t>
        </is>
      </c>
      <c r="D142" t="inlineStr" s="4">
        <is>
          <t>Admin Public Content</t>
        </is>
      </c>
      <c r="E142" t="inlineStr" s="4">
        <is>
          <t>Admin</t>
        </is>
      </c>
      <c r="F142" t="inlineStr" s="4">
        <is>
          <t>App\Http\Controllers\Admin\FaqController@destroy</t>
        </is>
      </c>
      <c r="G142" t="inlineStr" s="4">
        <is>
          <t>web, Illuminate\Auth\Middleware\Authenticate, Illuminate\Auth\Middleware\EnsureEmailIsVerified, App\Http\Middleware\EnsureAdmin, App\Http\Middleware\LogAdminActivity</t>
        </is>
      </c>
    </row>
    <row r="143" ht="22" customHeight="1">
      <c r="A143" t="inlineStr" s="4">
        <is>
          <t>GET|HEAD</t>
        </is>
      </c>
      <c r="B143" t="inlineStr" s="4">
        <is>
          <t>admin/public/faqs/{faq}/edit</t>
        </is>
      </c>
      <c r="C143" t="inlineStr" s="4">
        <is>
          <t>admin.public.faqs.edit</t>
        </is>
      </c>
      <c r="D143" t="inlineStr" s="4">
        <is>
          <t>Admin Public Content</t>
        </is>
      </c>
      <c r="E143" t="inlineStr" s="4">
        <is>
          <t>Admin</t>
        </is>
      </c>
      <c r="F143" t="inlineStr" s="4">
        <is>
          <t>App\Http\Controllers\Admin\FaqController@edit</t>
        </is>
      </c>
      <c r="G143" t="inlineStr" s="4">
        <is>
          <t>web, Illuminate\Auth\Middleware\Authenticate, Illuminate\Auth\Middleware\EnsureEmailIsVerified, App\Http\Middleware\EnsureAdmin, App\Http\Middleware\LogAdminActivity</t>
        </is>
      </c>
    </row>
    <row r="144" ht="22" customHeight="1">
      <c r="A144" t="inlineStr" s="4">
        <is>
          <t>GET|HEAD</t>
        </is>
      </c>
      <c r="B144" t="inlineStr" s="4">
        <is>
          <t>admin/public/home</t>
        </is>
      </c>
      <c r="C144" t="inlineStr" s="4">
        <is>
          <t>admin.public.home.edit</t>
        </is>
      </c>
      <c r="D144" t="inlineStr" s="4">
        <is>
          <t>Admin Public Content</t>
        </is>
      </c>
      <c r="E144" t="inlineStr" s="4">
        <is>
          <t>Admin</t>
        </is>
      </c>
      <c r="F144" t="inlineStr" s="4">
        <is>
          <t>App\Http\Controllers\Admin\HomeContentController@edit</t>
        </is>
      </c>
      <c r="G144" t="inlineStr" s="4">
        <is>
          <t>web, Illuminate\Auth\Middleware\Authenticate, Illuminate\Auth\Middleware\EnsureEmailIsVerified, App\Http\Middleware\EnsureAdmin, App\Http\Middleware\LogAdminActivity</t>
        </is>
      </c>
    </row>
    <row r="145" ht="22" customHeight="1">
      <c r="A145" t="inlineStr" s="4">
        <is>
          <t>PUT</t>
        </is>
      </c>
      <c r="B145" t="inlineStr" s="4">
        <is>
          <t>admin/public/home</t>
        </is>
      </c>
      <c r="C145" t="inlineStr" s="4">
        <is>
          <t>admin.public.home.update</t>
        </is>
      </c>
      <c r="D145" t="inlineStr" s="4">
        <is>
          <t>Admin Public Content</t>
        </is>
      </c>
      <c r="E145" t="inlineStr" s="4">
        <is>
          <t>Admin</t>
        </is>
      </c>
      <c r="F145" t="inlineStr" s="4">
        <is>
          <t>App\Http\Controllers\Admin\HomeContentController@update</t>
        </is>
      </c>
      <c r="G145" t="inlineStr" s="4">
        <is>
          <t>web, Illuminate\Auth\Middleware\Authenticate, Illuminate\Auth\Middleware\EnsureEmailIsVerified, App\Http\Middleware\EnsureAdmin, App\Http\Middleware\LogAdminActivity</t>
        </is>
      </c>
    </row>
    <row r="146" ht="22" customHeight="1">
      <c r="A146" t="inlineStr" s="4">
        <is>
          <t>POST</t>
        </is>
      </c>
      <c r="B146" t="inlineStr" s="4">
        <is>
          <t>admin/public/home/part-of-logos</t>
        </is>
      </c>
      <c r="C146" t="inlineStr" s="4">
        <is>
          <t>admin.public.home.part-of-logos.store</t>
        </is>
      </c>
      <c r="D146" t="inlineStr" s="4">
        <is>
          <t>Admin Public Content</t>
        </is>
      </c>
      <c r="E146" t="inlineStr" s="4">
        <is>
          <t>Admin</t>
        </is>
      </c>
      <c r="F146" t="inlineStr" s="4">
        <is>
          <t>App\Http\Controllers\Admin\PublicPartOfLogoController@store</t>
        </is>
      </c>
      <c r="G146" t="inlineStr" s="4">
        <is>
          <t>web, Illuminate\Auth\Middleware\Authenticate, Illuminate\Auth\Middleware\EnsureEmailIsVerified, App\Http\Middleware\EnsureAdmin, App\Http\Middleware\LogAdminActivity</t>
        </is>
      </c>
    </row>
    <row r="147" ht="22" customHeight="1">
      <c r="A147" t="inlineStr" s="4">
        <is>
          <t>PUT</t>
        </is>
      </c>
      <c r="B147" t="inlineStr" s="4">
        <is>
          <t>admin/public/home/part-of-logos/{logo}</t>
        </is>
      </c>
      <c r="C147" t="inlineStr" s="4">
        <is>
          <t>admin.public.home.part-of-logos.update</t>
        </is>
      </c>
      <c r="D147" t="inlineStr" s="4">
        <is>
          <t>Admin Public Content</t>
        </is>
      </c>
      <c r="E147" t="inlineStr" s="4">
        <is>
          <t>Admin</t>
        </is>
      </c>
      <c r="F147" t="inlineStr" s="4">
        <is>
          <t>App\Http\Controllers\Admin\PublicPartOfLogoController@update</t>
        </is>
      </c>
      <c r="G147" t="inlineStr" s="4">
        <is>
          <t>web, Illuminate\Auth\Middleware\Authenticate, Illuminate\Auth\Middleware\EnsureEmailIsVerified, App\Http\Middleware\EnsureAdmin, App\Http\Middleware\LogAdminActivity</t>
        </is>
      </c>
    </row>
    <row r="148" ht="22" customHeight="1">
      <c r="A148" t="inlineStr" s="4">
        <is>
          <t>DELETE</t>
        </is>
      </c>
      <c r="B148" t="inlineStr" s="4">
        <is>
          <t>admin/public/home/part-of-logos/{logo}</t>
        </is>
      </c>
      <c r="C148" t="inlineStr" s="4">
        <is>
          <t>admin.public.home.part-of-logos.destroy</t>
        </is>
      </c>
      <c r="D148" t="inlineStr" s="4">
        <is>
          <t>Admin Public Content</t>
        </is>
      </c>
      <c r="E148" t="inlineStr" s="4">
        <is>
          <t>Admin</t>
        </is>
      </c>
      <c r="F148" t="inlineStr" s="4">
        <is>
          <t>App\Http\Controllers\Admin\PublicPartOfLogoController@destroy</t>
        </is>
      </c>
      <c r="G148" t="inlineStr" s="4">
        <is>
          <t>web, Illuminate\Auth\Middleware\Authenticate, Illuminate\Auth\Middleware\EnsureEmailIsVerified, App\Http\Middleware\EnsureAdmin, App\Http\Middleware\LogAdminActivity</t>
        </is>
      </c>
    </row>
    <row r="149" ht="22" customHeight="1">
      <c r="A149" t="inlineStr" s="4">
        <is>
          <t>GET|HEAD</t>
        </is>
      </c>
      <c r="B149" t="inlineStr" s="4">
        <is>
          <t>admin/public/partners</t>
        </is>
      </c>
      <c r="C149" t="inlineStr" s="4">
        <is>
          <t>admin.public.partners.index</t>
        </is>
      </c>
      <c r="D149" t="inlineStr" s="4">
        <is>
          <t>Admin Public Content</t>
        </is>
      </c>
      <c r="E149" t="inlineStr" s="4">
        <is>
          <t>Admin</t>
        </is>
      </c>
      <c r="F149" t="inlineStr" s="4">
        <is>
          <t>App\Http\Controllers\Admin\PublicPartnerController@index</t>
        </is>
      </c>
      <c r="G149" t="inlineStr" s="4">
        <is>
          <t>web, Illuminate\Auth\Middleware\Authenticate, Illuminate\Auth\Middleware\EnsureEmailIsVerified, App\Http\Middleware\EnsureAdmin, App\Http\Middleware\LogAdminActivity</t>
        </is>
      </c>
    </row>
    <row r="150" ht="22" customHeight="1">
      <c r="A150" t="inlineStr" s="4">
        <is>
          <t>POST</t>
        </is>
      </c>
      <c r="B150" t="inlineStr" s="4">
        <is>
          <t>admin/public/partners</t>
        </is>
      </c>
      <c r="C150" t="inlineStr" s="4">
        <is>
          <t>admin.public.partners.store</t>
        </is>
      </c>
      <c r="D150" t="inlineStr" s="4">
        <is>
          <t>Admin Public Content</t>
        </is>
      </c>
      <c r="E150" t="inlineStr" s="4">
        <is>
          <t>Admin</t>
        </is>
      </c>
      <c r="F150" t="inlineStr" s="4">
        <is>
          <t>App\Http\Controllers\Admin\PublicPartnerController@store</t>
        </is>
      </c>
      <c r="G150" t="inlineStr" s="4">
        <is>
          <t>web, Illuminate\Auth\Middleware\Authenticate, Illuminate\Auth\Middleware\EnsureEmailIsVerified, App\Http\Middleware\EnsureAdmin, App\Http\Middleware\LogAdminActivity</t>
        </is>
      </c>
    </row>
    <row r="151" ht="22" customHeight="1">
      <c r="A151" t="inlineStr" s="4">
        <is>
          <t>GET|HEAD</t>
        </is>
      </c>
      <c r="B151" t="inlineStr" s="4">
        <is>
          <t>admin/public/partners/create</t>
        </is>
      </c>
      <c r="C151" t="inlineStr" s="4">
        <is>
          <t>admin.public.partners.create</t>
        </is>
      </c>
      <c r="D151" t="inlineStr" s="4">
        <is>
          <t>Admin Public Content</t>
        </is>
      </c>
      <c r="E151" t="inlineStr" s="4">
        <is>
          <t>Admin</t>
        </is>
      </c>
      <c r="F151" t="inlineStr" s="4">
        <is>
          <t>App\Http\Controllers\Admin\PublicPartnerController@create</t>
        </is>
      </c>
      <c r="G151" t="inlineStr" s="4">
        <is>
          <t>web, Illuminate\Auth\Middleware\Authenticate, Illuminate\Auth\Middleware\EnsureEmailIsVerified, App\Http\Middleware\EnsureAdmin, App\Http\Middleware\LogAdminActivity</t>
        </is>
      </c>
    </row>
    <row r="152" ht="22" customHeight="1">
      <c r="A152" t="inlineStr" s="4">
        <is>
          <t>PUT</t>
        </is>
      </c>
      <c r="B152" t="inlineStr" s="4">
        <is>
          <t>admin/public/partners/{partner}</t>
        </is>
      </c>
      <c r="C152" t="inlineStr" s="4">
        <is>
          <t>admin.public.partners.update</t>
        </is>
      </c>
      <c r="D152" t="inlineStr" s="4">
        <is>
          <t>Admin Public Content</t>
        </is>
      </c>
      <c r="E152" t="inlineStr" s="4">
        <is>
          <t>Admin</t>
        </is>
      </c>
      <c r="F152" t="inlineStr" s="4">
        <is>
          <t>App\Http\Controllers\Admin\PublicPartnerController@update</t>
        </is>
      </c>
      <c r="G152" t="inlineStr" s="4">
        <is>
          <t>web, Illuminate\Auth\Middleware\Authenticate, Illuminate\Auth\Middleware\EnsureEmailIsVerified, App\Http\Middleware\EnsureAdmin, App\Http\Middleware\LogAdminActivity</t>
        </is>
      </c>
    </row>
    <row r="153" ht="22" customHeight="1">
      <c r="A153" t="inlineStr" s="4">
        <is>
          <t>DELETE</t>
        </is>
      </c>
      <c r="B153" t="inlineStr" s="4">
        <is>
          <t>admin/public/partners/{partner}</t>
        </is>
      </c>
      <c r="C153" t="inlineStr" s="4">
        <is>
          <t>admin.public.partners.destroy</t>
        </is>
      </c>
      <c r="D153" t="inlineStr" s="4">
        <is>
          <t>Admin Public Content</t>
        </is>
      </c>
      <c r="E153" t="inlineStr" s="4">
        <is>
          <t>Admin</t>
        </is>
      </c>
      <c r="F153" t="inlineStr" s="4">
        <is>
          <t>App\Http\Controllers\Admin\PublicPartnerController@destroy</t>
        </is>
      </c>
      <c r="G153" t="inlineStr" s="4">
        <is>
          <t>web, Illuminate\Auth\Middleware\Authenticate, Illuminate\Auth\Middleware\EnsureEmailIsVerified, App\Http\Middleware\EnsureAdmin, App\Http\Middleware\LogAdminActivity</t>
        </is>
      </c>
    </row>
    <row r="154" ht="22" customHeight="1">
      <c r="A154" t="inlineStr" s="4">
        <is>
          <t>GET|HEAD</t>
        </is>
      </c>
      <c r="B154" t="inlineStr" s="4">
        <is>
          <t>admin/public/partners/{partner}/edit</t>
        </is>
      </c>
      <c r="C154" t="inlineStr" s="4">
        <is>
          <t>admin.public.partners.edit</t>
        </is>
      </c>
      <c r="D154" t="inlineStr" s="4">
        <is>
          <t>Admin Public Content</t>
        </is>
      </c>
      <c r="E154" t="inlineStr" s="4">
        <is>
          <t>Admin</t>
        </is>
      </c>
      <c r="F154" t="inlineStr" s="4">
        <is>
          <t>App\Http\Controllers\Admin\PublicPartnerController@edit</t>
        </is>
      </c>
      <c r="G154" t="inlineStr" s="4">
        <is>
          <t>web, Illuminate\Auth\Middleware\Authenticate, Illuminate\Auth\Middleware\EnsureEmailIsVerified, App\Http\Middleware\EnsureAdmin, App\Http\Middleware\LogAdminActivity</t>
        </is>
      </c>
    </row>
    <row r="155" ht="22" customHeight="1">
      <c r="A155" t="inlineStr" s="4">
        <is>
          <t>GET|HEAD</t>
        </is>
      </c>
      <c r="B155" t="inlineStr" s="4">
        <is>
          <t>admin/public/privacy-policy</t>
        </is>
      </c>
      <c r="C155" t="inlineStr" s="4">
        <is>
          <t>admin.public.privacy-policy.edit</t>
        </is>
      </c>
      <c r="D155" t="inlineStr" s="4">
        <is>
          <t>Admin Public Content</t>
        </is>
      </c>
      <c r="E155" t="inlineStr" s="4">
        <is>
          <t>Admin</t>
        </is>
      </c>
      <c r="F155" t="inlineStr" s="4">
        <is>
          <t>App\Http\Controllers\Admin\PrivacyPolicyController@edit</t>
        </is>
      </c>
      <c r="G155" t="inlineStr" s="4">
        <is>
          <t>web, Illuminate\Auth\Middleware\Authenticate, Illuminate\Auth\Middleware\EnsureEmailIsVerified, App\Http\Middleware\EnsureAdmin, App\Http\Middleware\LogAdminActivity</t>
        </is>
      </c>
    </row>
    <row r="156" ht="22" customHeight="1">
      <c r="A156" t="inlineStr" s="4">
        <is>
          <t>PUT</t>
        </is>
      </c>
      <c r="B156" t="inlineStr" s="4">
        <is>
          <t>admin/public/privacy-policy</t>
        </is>
      </c>
      <c r="C156" t="inlineStr" s="4">
        <is>
          <t>admin.public.privacy-policy.update</t>
        </is>
      </c>
      <c r="D156" t="inlineStr" s="4">
        <is>
          <t>Admin Public Content</t>
        </is>
      </c>
      <c r="E156" t="inlineStr" s="4">
        <is>
          <t>Admin</t>
        </is>
      </c>
      <c r="F156" t="inlineStr" s="4">
        <is>
          <t>App\Http\Controllers\Admin\PrivacyPolicyController@update</t>
        </is>
      </c>
      <c r="G156" t="inlineStr" s="4">
        <is>
          <t>web, Illuminate\Auth\Middleware\Authenticate, Illuminate\Auth\Middleware\EnsureEmailIsVerified, App\Http\Middleware\EnsureAdmin, App\Http\Middleware\LogAdminActivity</t>
        </is>
      </c>
    </row>
    <row r="157" ht="22" customHeight="1">
      <c r="A157" t="inlineStr" s="4">
        <is>
          <t>GET|HEAD</t>
        </is>
      </c>
      <c r="B157" t="inlineStr" s="4">
        <is>
          <t>admin/public/promo-items</t>
        </is>
      </c>
      <c r="C157" t="inlineStr" s="4">
        <is>
          <t>admin.public.promo-items.index</t>
        </is>
      </c>
      <c r="D157" t="inlineStr" s="4">
        <is>
          <t>Admin Public Content</t>
        </is>
      </c>
      <c r="E157" t="inlineStr" s="4">
        <is>
          <t>Admin</t>
        </is>
      </c>
      <c r="F157" t="inlineStr" s="4">
        <is>
          <t>App\Http\Controllers\Admin\PromoItemController@index</t>
        </is>
      </c>
      <c r="G157" t="inlineStr" s="4">
        <is>
          <t>web, Illuminate\Auth\Middleware\Authenticate, Illuminate\Auth\Middleware\EnsureEmailIsVerified, App\Http\Middleware\EnsureAdmin, App\Http\Middleware\LogAdminActivity</t>
        </is>
      </c>
    </row>
    <row r="158" ht="22" customHeight="1">
      <c r="A158" t="inlineStr" s="4">
        <is>
          <t>POST</t>
        </is>
      </c>
      <c r="B158" t="inlineStr" s="4">
        <is>
          <t>admin/public/promo-items</t>
        </is>
      </c>
      <c r="C158" t="inlineStr" s="4">
        <is>
          <t>admin.public.promo-items.store</t>
        </is>
      </c>
      <c r="D158" t="inlineStr" s="4">
        <is>
          <t>Admin Public Content</t>
        </is>
      </c>
      <c r="E158" t="inlineStr" s="4">
        <is>
          <t>Admin</t>
        </is>
      </c>
      <c r="F158" t="inlineStr" s="4">
        <is>
          <t>App\Http\Controllers\Admin\PromoItemController@store</t>
        </is>
      </c>
      <c r="G158" t="inlineStr" s="4">
        <is>
          <t>web, Illuminate\Auth\Middleware\Authenticate, Illuminate\Auth\Middleware\EnsureEmailIsVerified, App\Http\Middleware\EnsureAdmin, App\Http\Middleware\LogAdminActivity</t>
        </is>
      </c>
    </row>
    <row r="159" ht="22" customHeight="1">
      <c r="A159" t="inlineStr" s="4">
        <is>
          <t>GET|HEAD</t>
        </is>
      </c>
      <c r="B159" t="inlineStr" s="4">
        <is>
          <t>admin/public/promo-items/create</t>
        </is>
      </c>
      <c r="C159" t="inlineStr" s="4">
        <is>
          <t>admin.public.promo-items.create</t>
        </is>
      </c>
      <c r="D159" t="inlineStr" s="4">
        <is>
          <t>Admin Public Content</t>
        </is>
      </c>
      <c r="E159" t="inlineStr" s="4">
        <is>
          <t>Admin</t>
        </is>
      </c>
      <c r="F159" t="inlineStr" s="4">
        <is>
          <t>App\Http\Controllers\Admin\PromoItemController@create</t>
        </is>
      </c>
      <c r="G159" t="inlineStr" s="4">
        <is>
          <t>web, Illuminate\Auth\Middleware\Authenticate, Illuminate\Auth\Middleware\EnsureEmailIsVerified, App\Http\Middleware\EnsureAdmin, App\Http\Middleware\LogAdminActivity</t>
        </is>
      </c>
    </row>
    <row r="160" ht="22" customHeight="1">
      <c r="A160" t="inlineStr" s="4">
        <is>
          <t>PUT</t>
        </is>
      </c>
      <c r="B160" t="inlineStr" s="4">
        <is>
          <t>admin/public/promo-items/{promoItem}</t>
        </is>
      </c>
      <c r="C160" t="inlineStr" s="4">
        <is>
          <t>admin.public.promo-items.update</t>
        </is>
      </c>
      <c r="D160" t="inlineStr" s="4">
        <is>
          <t>Admin Public Content</t>
        </is>
      </c>
      <c r="E160" t="inlineStr" s="4">
        <is>
          <t>Admin</t>
        </is>
      </c>
      <c r="F160" t="inlineStr" s="4">
        <is>
          <t>App\Http\Controllers\Admin\PromoItemController@update</t>
        </is>
      </c>
      <c r="G160" t="inlineStr" s="4">
        <is>
          <t>web, Illuminate\Auth\Middleware\Authenticate, Illuminate\Auth\Middleware\EnsureEmailIsVerified, App\Http\Middleware\EnsureAdmin, App\Http\Middleware\LogAdminActivity</t>
        </is>
      </c>
    </row>
    <row r="161" ht="22" customHeight="1">
      <c r="A161" t="inlineStr" s="4">
        <is>
          <t>DELETE</t>
        </is>
      </c>
      <c r="B161" t="inlineStr" s="4">
        <is>
          <t>admin/public/promo-items/{promoItem}</t>
        </is>
      </c>
      <c r="C161" t="inlineStr" s="4">
        <is>
          <t>admin.public.promo-items.destroy</t>
        </is>
      </c>
      <c r="D161" t="inlineStr" s="4">
        <is>
          <t>Admin Public Content</t>
        </is>
      </c>
      <c r="E161" t="inlineStr" s="4">
        <is>
          <t>Admin</t>
        </is>
      </c>
      <c r="F161" t="inlineStr" s="4">
        <is>
          <t>App\Http\Controllers\Admin\PromoItemController@destroy</t>
        </is>
      </c>
      <c r="G161" t="inlineStr" s="4">
        <is>
          <t>web, Illuminate\Auth\Middleware\Authenticate, Illuminate\Auth\Middleware\EnsureEmailIsVerified, App\Http\Middleware\EnsureAdmin, App\Http\Middleware\LogAdminActivity</t>
        </is>
      </c>
    </row>
    <row r="162" ht="22" customHeight="1">
      <c r="A162" t="inlineStr" s="4">
        <is>
          <t>GET|HEAD</t>
        </is>
      </c>
      <c r="B162" t="inlineStr" s="4">
        <is>
          <t>admin/public/promo-items/{promoItem}/edit</t>
        </is>
      </c>
      <c r="C162" t="inlineStr" s="4">
        <is>
          <t>admin.public.promo-items.edit</t>
        </is>
      </c>
      <c r="D162" t="inlineStr" s="4">
        <is>
          <t>Admin Public Content</t>
        </is>
      </c>
      <c r="E162" t="inlineStr" s="4">
        <is>
          <t>Admin</t>
        </is>
      </c>
      <c r="F162" t="inlineStr" s="4">
        <is>
          <t>App\Http\Controllers\Admin\PromoItemController@edit</t>
        </is>
      </c>
      <c r="G162" t="inlineStr" s="4">
        <is>
          <t>web, Illuminate\Auth\Middleware\Authenticate, Illuminate\Auth\Middleware\EnsureEmailIsVerified, App\Http\Middleware\EnsureAdmin, App\Http\Middleware\LogAdminActivity</t>
        </is>
      </c>
    </row>
    <row r="163" ht="22" customHeight="1">
      <c r="A163" t="inlineStr" s="4">
        <is>
          <t>GET|HEAD</t>
        </is>
      </c>
      <c r="B163" t="inlineStr" s="4">
        <is>
          <t>admin/retail-shop/audit</t>
        </is>
      </c>
      <c r="C163" t="inlineStr" s="4">
        <is>
          <t>admin.souvenir.audit.index</t>
        </is>
      </c>
      <c r="D163" t="inlineStr" s="4">
        <is>
          <t>Other / Legacy / Shared</t>
        </is>
      </c>
      <c r="E163" t="inlineStr" s="4">
        <is>
          <t>Admin</t>
        </is>
      </c>
      <c r="F163" t="inlineStr" s="4">
        <is>
          <t>App\Http\Controllers\Admin\SouvenirAuditController@index</t>
        </is>
      </c>
      <c r="G163" t="inlineStr" s="4">
        <is>
          <t>web, Illuminate\Auth\Middleware\Authenticate, Illuminate\Auth\Middleware\EnsureEmailIsVerified, App\Http\Middleware\EnsureAdmin, App\Http\Middleware\LogAdminActivity</t>
        </is>
      </c>
    </row>
    <row r="164" ht="22" customHeight="1">
      <c r="A164" t="inlineStr" s="4">
        <is>
          <t>GET|HEAD</t>
        </is>
      </c>
      <c r="B164" t="inlineStr" s="4">
        <is>
          <t>admin/retail-shop/categories</t>
        </is>
      </c>
      <c r="C164" t="inlineStr" s="4">
        <is>
          <t>admin.souvenir.categories.index</t>
        </is>
      </c>
      <c r="D164" t="inlineStr" s="4">
        <is>
          <t>Other / Legacy / Shared</t>
        </is>
      </c>
      <c r="E164" t="inlineStr" s="4">
        <is>
          <t>Admin</t>
        </is>
      </c>
      <c r="F164" t="inlineStr" s="4">
        <is>
          <t>App\Http\Controllers\Admin\SouvenirCategoryController@index</t>
        </is>
      </c>
      <c r="G164" t="inlineStr" s="4">
        <is>
          <t>web, Illuminate\Auth\Middleware\Authenticate, Illuminate\Auth\Middleware\EnsureEmailIsVerified, App\Http\Middleware\EnsureAdmin, App\Http\Middleware\LogAdminActivity</t>
        </is>
      </c>
    </row>
    <row r="165" ht="22" customHeight="1">
      <c r="A165" t="inlineStr" s="4">
        <is>
          <t>POST</t>
        </is>
      </c>
      <c r="B165" t="inlineStr" s="4">
        <is>
          <t>admin/retail-shop/categories</t>
        </is>
      </c>
      <c r="C165" t="inlineStr" s="4">
        <is>
          <t>admin.souvenir.categories.store</t>
        </is>
      </c>
      <c r="D165" t="inlineStr" s="4">
        <is>
          <t>Other / Legacy / Shared</t>
        </is>
      </c>
      <c r="E165" t="inlineStr" s="4">
        <is>
          <t>Admin</t>
        </is>
      </c>
      <c r="F165" t="inlineStr" s="4">
        <is>
          <t>App\Http\Controllers\Admin\SouvenirCategoryController@store</t>
        </is>
      </c>
      <c r="G165" t="inlineStr" s="4">
        <is>
          <t>web, Illuminate\Auth\Middleware\Authenticate, Illuminate\Auth\Middleware\EnsureEmailIsVerified, App\Http\Middleware\EnsureAdmin, App\Http\Middleware\LogAdminActivity</t>
        </is>
      </c>
    </row>
    <row r="166" ht="22" customHeight="1">
      <c r="A166" t="inlineStr" s="4">
        <is>
          <t>PUT</t>
        </is>
      </c>
      <c r="B166" t="inlineStr" s="4">
        <is>
          <t>admin/retail-shop/categories/{category}</t>
        </is>
      </c>
      <c r="C166" t="inlineStr" s="4">
        <is>
          <t>admin.souvenir.categories.update</t>
        </is>
      </c>
      <c r="D166" t="inlineStr" s="4">
        <is>
          <t>Other / Legacy / Shared</t>
        </is>
      </c>
      <c r="E166" t="inlineStr" s="4">
        <is>
          <t>Admin</t>
        </is>
      </c>
      <c r="F166" t="inlineStr" s="4">
        <is>
          <t>App\Http\Controllers\Admin\SouvenirCategoryController@update</t>
        </is>
      </c>
      <c r="G166" t="inlineStr" s="4">
        <is>
          <t>web, Illuminate\Auth\Middleware\Authenticate, Illuminate\Auth\Middleware\EnsureEmailIsVerified, App\Http\Middleware\EnsureAdmin, App\Http\Middleware\LogAdminActivity</t>
        </is>
      </c>
    </row>
    <row r="167" ht="22" customHeight="1">
      <c r="A167" t="inlineStr" s="4">
        <is>
          <t>DELETE</t>
        </is>
      </c>
      <c r="B167" t="inlineStr" s="4">
        <is>
          <t>admin/retail-shop/categories/{category}</t>
        </is>
      </c>
      <c r="C167" t="inlineStr" s="4">
        <is>
          <t>admin.souvenir.categories.destroy</t>
        </is>
      </c>
      <c r="D167" t="inlineStr" s="4">
        <is>
          <t>Other / Legacy / Shared</t>
        </is>
      </c>
      <c r="E167" t="inlineStr" s="4">
        <is>
          <t>Admin</t>
        </is>
      </c>
      <c r="F167" t="inlineStr" s="4">
        <is>
          <t>App\Http\Controllers\Admin\SouvenirCategoryController@destroy</t>
        </is>
      </c>
      <c r="G167" t="inlineStr" s="4">
        <is>
          <t>web, Illuminate\Auth\Middleware\Authenticate, Illuminate\Auth\Middleware\EnsureEmailIsVerified, App\Http\Middleware\EnsureAdmin, App\Http\Middleware\LogAdminActivity</t>
        </is>
      </c>
    </row>
    <row r="168" ht="22" customHeight="1">
      <c r="A168" t="inlineStr" s="4">
        <is>
          <t>GET|HEAD</t>
        </is>
      </c>
      <c r="B168" t="inlineStr" s="4">
        <is>
          <t>admin/retail-shop/fulfillment</t>
        </is>
      </c>
      <c r="C168" t="inlineStr" s="4">
        <is>
          <t>admin.souvenir.fulfillment.index</t>
        </is>
      </c>
      <c r="D168" t="inlineStr" s="4">
        <is>
          <t>Other / Legacy / Shared</t>
        </is>
      </c>
      <c r="E168" t="inlineStr" s="4">
        <is>
          <t>Admin</t>
        </is>
      </c>
      <c r="F168" t="inlineStr" s="4">
        <is>
          <t>App\Http\Controllers\Admin\SouvenirOrderController@fulfillment</t>
        </is>
      </c>
      <c r="G168" t="inlineStr" s="4">
        <is>
          <t>web, Illuminate\Auth\Middleware\Authenticate, Illuminate\Auth\Middleware\EnsureEmailIsVerified, App\Http\Middleware\EnsureAdmin, App\Http\Middleware\LogAdminActivity</t>
        </is>
      </c>
    </row>
    <row r="169" ht="22" customHeight="1">
      <c r="A169" t="inlineStr" s="4">
        <is>
          <t>GET|HEAD</t>
        </is>
      </c>
      <c r="B169" t="inlineStr" s="4">
        <is>
          <t>admin/retail-shop/inventory</t>
        </is>
      </c>
      <c r="C169" t="inlineStr" s="4">
        <is>
          <t>admin.souvenir.inventory.index</t>
        </is>
      </c>
      <c r="D169" t="inlineStr" s="4">
        <is>
          <t>Other / Legacy / Shared</t>
        </is>
      </c>
      <c r="E169" t="inlineStr" s="4">
        <is>
          <t>Admin</t>
        </is>
      </c>
      <c r="F169" t="inlineStr" s="4">
        <is>
          <t>App\Http\Controllers\Admin\SouvenirInventoryController@index</t>
        </is>
      </c>
      <c r="G169" t="inlineStr" s="4">
        <is>
          <t>web, Illuminate\Auth\Middleware\Authenticate, Illuminate\Auth\Middleware\EnsureEmailIsVerified, App\Http\Middleware\EnsureAdmin, App\Http\Middleware\LogAdminActivity</t>
        </is>
      </c>
    </row>
    <row r="170" ht="22" customHeight="1">
      <c r="A170" t="inlineStr" s="4">
        <is>
          <t>POST</t>
        </is>
      </c>
      <c r="B170" t="inlineStr" s="4">
        <is>
          <t>admin/retail-shop/inventory</t>
        </is>
      </c>
      <c r="C170" t="inlineStr" s="4">
        <is>
          <t>admin.souvenir.inventory.store</t>
        </is>
      </c>
      <c r="D170" t="inlineStr" s="4">
        <is>
          <t>Other / Legacy / Shared</t>
        </is>
      </c>
      <c r="E170" t="inlineStr" s="4">
        <is>
          <t>Admin</t>
        </is>
      </c>
      <c r="F170" t="inlineStr" s="4">
        <is>
          <t>App\Http\Controllers\Admin\SouvenirInventoryController@store</t>
        </is>
      </c>
      <c r="G170" t="inlineStr" s="4">
        <is>
          <t>web, Illuminate\Auth\Middleware\Authenticate, Illuminate\Auth\Middleware\EnsureEmailIsVerified, App\Http\Middleware\EnsureAdmin, App\Http\Middleware\LogAdminActivity</t>
        </is>
      </c>
    </row>
    <row r="171" ht="22" customHeight="1">
      <c r="A171" t="inlineStr" s="4">
        <is>
          <t>GET|HEAD</t>
        </is>
      </c>
      <c r="B171" t="inlineStr" s="4">
        <is>
          <t>admin/retail-shop/orders</t>
        </is>
      </c>
      <c r="C171" t="inlineStr" s="4">
        <is>
          <t>admin.souvenir.orders.index</t>
        </is>
      </c>
      <c r="D171" t="inlineStr" s="4">
        <is>
          <t>Other / Legacy / Shared</t>
        </is>
      </c>
      <c r="E171" t="inlineStr" s="4">
        <is>
          <t>Admin</t>
        </is>
      </c>
      <c r="F171" t="inlineStr" s="4">
        <is>
          <t>App\Http\Controllers\Admin\SouvenirOrderController@index</t>
        </is>
      </c>
      <c r="G171" t="inlineStr" s="4">
        <is>
          <t>web, Illuminate\Auth\Middleware\Authenticate, Illuminate\Auth\Middleware\EnsureEmailIsVerified, App\Http\Middleware\EnsureAdmin, App\Http\Middleware\LogAdminActivity</t>
        </is>
      </c>
    </row>
    <row r="172" ht="22" customHeight="1">
      <c r="A172" t="inlineStr" s="4">
        <is>
          <t>GET|HEAD</t>
        </is>
      </c>
      <c r="B172" t="inlineStr" s="4">
        <is>
          <t>admin/retail-shop/orders/{order}</t>
        </is>
      </c>
      <c r="C172" t="inlineStr" s="4">
        <is>
          <t>admin.souvenir.orders.show</t>
        </is>
      </c>
      <c r="D172" t="inlineStr" s="4">
        <is>
          <t>Other / Legacy / Shared</t>
        </is>
      </c>
      <c r="E172" t="inlineStr" s="4">
        <is>
          <t>Admin</t>
        </is>
      </c>
      <c r="F172" t="inlineStr" s="4">
        <is>
          <t>App\Http\Controllers\Admin\SouvenirOrderController@show</t>
        </is>
      </c>
      <c r="G172" t="inlineStr" s="4">
        <is>
          <t>web, Illuminate\Auth\Middleware\Authenticate, Illuminate\Auth\Middleware\EnsureEmailIsVerified, App\Http\Middleware\EnsureAdmin, App\Http\Middleware\LogAdminActivity</t>
        </is>
      </c>
    </row>
    <row r="173" ht="22" customHeight="1">
      <c r="A173" t="inlineStr" s="4">
        <is>
          <t>POST</t>
        </is>
      </c>
      <c r="B173" t="inlineStr" s="4">
        <is>
          <t>admin/retail-shop/orders/{order}/shipping</t>
        </is>
      </c>
      <c r="C173" t="inlineStr" s="4">
        <is>
          <t>admin.souvenir.orders.shipping</t>
        </is>
      </c>
      <c r="D173" t="inlineStr" s="4">
        <is>
          <t>Other / Legacy / Shared</t>
        </is>
      </c>
      <c r="E173" t="inlineStr" s="4">
        <is>
          <t>Admin</t>
        </is>
      </c>
      <c r="F173" t="inlineStr" s="4">
        <is>
          <t>App\Http\Controllers\Admin\SouvenirOrderController@updateShipping</t>
        </is>
      </c>
      <c r="G173" t="inlineStr" s="4">
        <is>
          <t>web, Illuminate\Auth\Middleware\Authenticate, Illuminate\Auth\Middleware\EnsureEmailIsVerified, App\Http\Middleware\EnsureAdmin, App\Http\Middleware\LogAdminActivity</t>
        </is>
      </c>
    </row>
    <row r="174" ht="22" customHeight="1">
      <c r="A174" t="inlineStr" s="4">
        <is>
          <t>POST</t>
        </is>
      </c>
      <c r="B174" t="inlineStr" s="4">
        <is>
          <t>admin/retail-shop/orders/{order}/status</t>
        </is>
      </c>
      <c r="C174" t="inlineStr" s="4">
        <is>
          <t>admin.souvenir.orders.status</t>
        </is>
      </c>
      <c r="D174" t="inlineStr" s="4">
        <is>
          <t>Other / Legacy / Shared</t>
        </is>
      </c>
      <c r="E174" t="inlineStr" s="4">
        <is>
          <t>Admin</t>
        </is>
      </c>
      <c r="F174" t="inlineStr" s="4">
        <is>
          <t>App\Http\Controllers\Admin\SouvenirOrderController@updateStatus</t>
        </is>
      </c>
      <c r="G174" t="inlineStr" s="4">
        <is>
          <t>web, Illuminate\Auth\Middleware\Authenticate, Illuminate\Auth\Middleware\EnsureEmailIsVerified, App\Http\Middleware\EnsureAdmin, App\Http\Middleware\LogAdminActivity</t>
        </is>
      </c>
    </row>
    <row r="175" ht="22" customHeight="1">
      <c r="A175" t="inlineStr" s="4">
        <is>
          <t>GET|HEAD</t>
        </is>
      </c>
      <c r="B175" t="inlineStr" s="4">
        <is>
          <t>admin/retail-shop/products</t>
        </is>
      </c>
      <c r="C175" t="inlineStr" s="4">
        <is>
          <t>admin.souvenir.products.index</t>
        </is>
      </c>
      <c r="D175" t="inlineStr" s="4">
        <is>
          <t>Other / Legacy / Shared</t>
        </is>
      </c>
      <c r="E175" t="inlineStr" s="4">
        <is>
          <t>Admin</t>
        </is>
      </c>
      <c r="F175" t="inlineStr" s="4">
        <is>
          <t>App\Http\Controllers\Admin\SouvenirProductController@index</t>
        </is>
      </c>
      <c r="G175" t="inlineStr" s="4">
        <is>
          <t>web, Illuminate\Auth\Middleware\Authenticate, Illuminate\Auth\Middleware\EnsureEmailIsVerified, App\Http\Middleware\EnsureAdmin, App\Http\Middleware\LogAdminActivity</t>
        </is>
      </c>
    </row>
    <row r="176" ht="22" customHeight="1">
      <c r="A176" t="inlineStr" s="4">
        <is>
          <t>POST</t>
        </is>
      </c>
      <c r="B176" t="inlineStr" s="4">
        <is>
          <t>admin/retail-shop/products</t>
        </is>
      </c>
      <c r="C176" t="inlineStr" s="4">
        <is>
          <t>admin.souvenir.products.store</t>
        </is>
      </c>
      <c r="D176" t="inlineStr" s="4">
        <is>
          <t>Other / Legacy / Shared</t>
        </is>
      </c>
      <c r="E176" t="inlineStr" s="4">
        <is>
          <t>Admin</t>
        </is>
      </c>
      <c r="F176" t="inlineStr" s="4">
        <is>
          <t>App\Http\Controllers\Admin\SouvenirProductController@store</t>
        </is>
      </c>
      <c r="G176" t="inlineStr" s="4">
        <is>
          <t>web, Illuminate\Auth\Middleware\Authenticate, Illuminate\Auth\Middleware\EnsureEmailIsVerified, App\Http\Middleware\EnsureAdmin, App\Http\Middleware\LogAdminActivity</t>
        </is>
      </c>
    </row>
    <row r="177" ht="22" customHeight="1">
      <c r="A177" t="inlineStr" s="4">
        <is>
          <t>PUT</t>
        </is>
      </c>
      <c r="B177" t="inlineStr" s="4">
        <is>
          <t>admin/retail-shop/products/{product}</t>
        </is>
      </c>
      <c r="C177" t="inlineStr" s="4">
        <is>
          <t>admin.souvenir.products.update</t>
        </is>
      </c>
      <c r="D177" t="inlineStr" s="4">
        <is>
          <t>Other / Legacy / Shared</t>
        </is>
      </c>
      <c r="E177" t="inlineStr" s="4">
        <is>
          <t>Admin</t>
        </is>
      </c>
      <c r="F177" t="inlineStr" s="4">
        <is>
          <t>App\Http\Controllers\Admin\SouvenirProductController@update</t>
        </is>
      </c>
      <c r="G177" t="inlineStr" s="4">
        <is>
          <t>web, Illuminate\Auth\Middleware\Authenticate, Illuminate\Auth\Middleware\EnsureEmailIsVerified, App\Http\Middleware\EnsureAdmin, App\Http\Middleware\LogAdminActivity</t>
        </is>
      </c>
    </row>
    <row r="178" ht="22" customHeight="1">
      <c r="A178" t="inlineStr" s="4">
        <is>
          <t>DELETE</t>
        </is>
      </c>
      <c r="B178" t="inlineStr" s="4">
        <is>
          <t>admin/retail-shop/products/{product}</t>
        </is>
      </c>
      <c r="C178" t="inlineStr" s="4">
        <is>
          <t>admin.souvenir.products.destroy</t>
        </is>
      </c>
      <c r="D178" t="inlineStr" s="4">
        <is>
          <t>Other / Legacy / Shared</t>
        </is>
      </c>
      <c r="E178" t="inlineStr" s="4">
        <is>
          <t>Admin</t>
        </is>
      </c>
      <c r="F178" t="inlineStr" s="4">
        <is>
          <t>App\Http\Controllers\Admin\SouvenirProductController@destroy</t>
        </is>
      </c>
      <c r="G178" t="inlineStr" s="4">
        <is>
          <t>web, Illuminate\Auth\Middleware\Authenticate, Illuminate\Auth\Middleware\EnsureEmailIsVerified, App\Http\Middleware\EnsureAdmin, App\Http\Middleware\LogAdminActivity</t>
        </is>
      </c>
    </row>
    <row r="179" ht="22" customHeight="1">
      <c r="A179" t="inlineStr" s="4">
        <is>
          <t>POST</t>
        </is>
      </c>
      <c r="B179" t="inlineStr" s="4">
        <is>
          <t>admin/retail-shop/products/{product}/duplicate</t>
        </is>
      </c>
      <c r="C179" t="inlineStr" s="4">
        <is>
          <t>admin.souvenir.products.duplicate</t>
        </is>
      </c>
      <c r="D179" t="inlineStr" s="4">
        <is>
          <t>Other / Legacy / Shared</t>
        </is>
      </c>
      <c r="E179" t="inlineStr" s="4">
        <is>
          <t>Admin</t>
        </is>
      </c>
      <c r="F179" t="inlineStr" s="4">
        <is>
          <t>App\Http\Controllers\Admin\SouvenirProductController@duplicate</t>
        </is>
      </c>
      <c r="G179" t="inlineStr" s="4">
        <is>
          <t>web, Illuminate\Auth\Middleware\Authenticate, Illuminate\Auth\Middleware\EnsureEmailIsVerified, App\Http\Middleware\EnsureAdmin, App\Http\Middleware\LogAdminActivity</t>
        </is>
      </c>
    </row>
    <row r="180" ht="22" customHeight="1">
      <c r="A180" t="inlineStr" s="4">
        <is>
          <t>DELETE</t>
        </is>
      </c>
      <c r="B180" t="inlineStr" s="4">
        <is>
          <t>admin/retail-shop/products/{product}/force</t>
        </is>
      </c>
      <c r="C180" t="inlineStr" s="4">
        <is>
          <t>admin.souvenir.products.force-delete</t>
        </is>
      </c>
      <c r="D180" t="inlineStr" s="4">
        <is>
          <t>Other / Legacy / Shared</t>
        </is>
      </c>
      <c r="E180" t="inlineStr" s="4">
        <is>
          <t>Admin</t>
        </is>
      </c>
      <c r="F180" t="inlineStr" s="4">
        <is>
          <t>App\Http\Controllers\Admin\SouvenirProductController@forceDelete</t>
        </is>
      </c>
      <c r="G180" t="inlineStr" s="4">
        <is>
          <t>web, Illuminate\Auth\Middleware\Authenticate, Illuminate\Auth\Middleware\EnsureEmailIsVerified, App\Http\Middleware\EnsureAdmin, App\Http\Middleware\LogAdminActivity</t>
        </is>
      </c>
    </row>
    <row r="181" ht="22" customHeight="1">
      <c r="A181" t="inlineStr" s="4">
        <is>
          <t>DELETE</t>
        </is>
      </c>
      <c r="B181" t="inlineStr" s="4">
        <is>
          <t>admin/retail-shop/products/{product}/images/{image}</t>
        </is>
      </c>
      <c r="C181" t="inlineStr" s="4">
        <is>
          <t>admin.souvenir.products.images.destroy</t>
        </is>
      </c>
      <c r="D181" t="inlineStr" s="4">
        <is>
          <t>Other / Legacy / Shared</t>
        </is>
      </c>
      <c r="E181" t="inlineStr" s="4">
        <is>
          <t>Admin</t>
        </is>
      </c>
      <c r="F181" t="inlineStr" s="4">
        <is>
          <t>App\Http\Controllers\Admin\SouvenirProductController@destroyImage</t>
        </is>
      </c>
      <c r="G181" t="inlineStr" s="4">
        <is>
          <t>web, Illuminate\Auth\Middleware\Authenticate, Illuminate\Auth\Middleware\EnsureEmailIsVerified, App\Http\Middleware\EnsureAdmin, App\Http\Middleware\LogAdminActivity</t>
        </is>
      </c>
    </row>
    <row r="182" ht="22" customHeight="1">
      <c r="A182" t="inlineStr" s="4">
        <is>
          <t>GET|HEAD</t>
        </is>
      </c>
      <c r="B182" t="inlineStr" s="4">
        <is>
          <t>admin/retail-shop/promotions</t>
        </is>
      </c>
      <c r="C182" t="inlineStr" s="4">
        <is>
          <t>admin.souvenir.promotions.index</t>
        </is>
      </c>
      <c r="D182" t="inlineStr" s="4">
        <is>
          <t>Other / Legacy / Shared</t>
        </is>
      </c>
      <c r="E182" t="inlineStr" s="4">
        <is>
          <t>Admin</t>
        </is>
      </c>
      <c r="F182" t="inlineStr" s="4">
        <is>
          <t>App\Http\Controllers\Admin\SouvenirPromotionController@index</t>
        </is>
      </c>
      <c r="G182" t="inlineStr" s="4">
        <is>
          <t>web, Illuminate\Auth\Middleware\Authenticate, Illuminate\Auth\Middleware\EnsureEmailIsVerified, App\Http\Middleware\EnsureAdmin, App\Http\Middleware\LogAdminActivity</t>
        </is>
      </c>
    </row>
    <row r="183" ht="22" customHeight="1">
      <c r="A183" t="inlineStr" s="4">
        <is>
          <t>POST</t>
        </is>
      </c>
      <c r="B183" t="inlineStr" s="4">
        <is>
          <t>admin/retail-shop/promotions</t>
        </is>
      </c>
      <c r="C183" t="inlineStr" s="4">
        <is>
          <t>admin.souvenir.promotions.store</t>
        </is>
      </c>
      <c r="D183" t="inlineStr" s="4">
        <is>
          <t>Other / Legacy / Shared</t>
        </is>
      </c>
      <c r="E183" t="inlineStr" s="4">
        <is>
          <t>Admin</t>
        </is>
      </c>
      <c r="F183" t="inlineStr" s="4">
        <is>
          <t>App\Http\Controllers\Admin\SouvenirPromotionController@store</t>
        </is>
      </c>
      <c r="G183" t="inlineStr" s="4">
        <is>
          <t>web, Illuminate\Auth\Middleware\Authenticate, Illuminate\Auth\Middleware\EnsureEmailIsVerified, App\Http\Middleware\EnsureAdmin, App\Http\Middleware\LogAdminActivity</t>
        </is>
      </c>
    </row>
    <row r="184" ht="22" customHeight="1">
      <c r="A184" t="inlineStr" s="4">
        <is>
          <t>PUT</t>
        </is>
      </c>
      <c r="B184" t="inlineStr" s="4">
        <is>
          <t>admin/retail-shop/promotions/{promotion}</t>
        </is>
      </c>
      <c r="C184" t="inlineStr" s="4">
        <is>
          <t>admin.souvenir.promotions.update</t>
        </is>
      </c>
      <c r="D184" t="inlineStr" s="4">
        <is>
          <t>Other / Legacy / Shared</t>
        </is>
      </c>
      <c r="E184" t="inlineStr" s="4">
        <is>
          <t>Admin</t>
        </is>
      </c>
      <c r="F184" t="inlineStr" s="4">
        <is>
          <t>App\Http\Controllers\Admin\SouvenirPromotionController@update</t>
        </is>
      </c>
      <c r="G184" t="inlineStr" s="4">
        <is>
          <t>web, Illuminate\Auth\Middleware\Authenticate, Illuminate\Auth\Middleware\EnsureEmailIsVerified, App\Http\Middleware\EnsureAdmin, App\Http\Middleware\LogAdminActivity</t>
        </is>
      </c>
    </row>
    <row r="185" ht="22" customHeight="1">
      <c r="A185" t="inlineStr" s="4">
        <is>
          <t>DELETE</t>
        </is>
      </c>
      <c r="B185" t="inlineStr" s="4">
        <is>
          <t>admin/retail-shop/promotions/{promotion}</t>
        </is>
      </c>
      <c r="C185" t="inlineStr" s="4">
        <is>
          <t>admin.souvenir.promotions.destroy</t>
        </is>
      </c>
      <c r="D185" t="inlineStr" s="4">
        <is>
          <t>Other / Legacy / Shared</t>
        </is>
      </c>
      <c r="E185" t="inlineStr" s="4">
        <is>
          <t>Admin</t>
        </is>
      </c>
      <c r="F185" t="inlineStr" s="4">
        <is>
          <t>App\Http\Controllers\Admin\SouvenirPromotionController@destroy</t>
        </is>
      </c>
      <c r="G185" t="inlineStr" s="4">
        <is>
          <t>web, Illuminate\Auth\Middleware\Authenticate, Illuminate\Auth\Middleware\EnsureEmailIsVerified, App\Http\Middleware\EnsureAdmin, App\Http\Middleware\LogAdminActivity</t>
        </is>
      </c>
    </row>
    <row r="186" ht="22" customHeight="1">
      <c r="A186" t="inlineStr" s="4">
        <is>
          <t>GET|HEAD</t>
        </is>
      </c>
      <c r="B186" t="inlineStr" s="4">
        <is>
          <t>admin/retail-shop/refunds</t>
        </is>
      </c>
      <c r="C186" t="inlineStr" s="4">
        <is>
          <t>admin.souvenir.refunds.index</t>
        </is>
      </c>
      <c r="D186" t="inlineStr" s="4">
        <is>
          <t>Other / Legacy / Shared</t>
        </is>
      </c>
      <c r="E186" t="inlineStr" s="4">
        <is>
          <t>Admin</t>
        </is>
      </c>
      <c r="F186" t="inlineStr" s="4">
        <is>
          <t>App\Http\Controllers\Admin\SouvenirRefundController@index</t>
        </is>
      </c>
      <c r="G186" t="inlineStr" s="4">
        <is>
          <t>web, Illuminate\Auth\Middleware\Authenticate, Illuminate\Auth\Middleware\EnsureEmailIsVerified, App\Http\Middleware\EnsureAdmin, App\Http\Middleware\LogAdminActivity</t>
        </is>
      </c>
    </row>
    <row r="187" ht="22" customHeight="1">
      <c r="A187" t="inlineStr" s="4">
        <is>
          <t>POST</t>
        </is>
      </c>
      <c r="B187" t="inlineStr" s="4">
        <is>
          <t>admin/retail-shop/refunds</t>
        </is>
      </c>
      <c r="C187" t="inlineStr" s="4">
        <is>
          <t>admin.souvenir.refunds.store</t>
        </is>
      </c>
      <c r="D187" t="inlineStr" s="4">
        <is>
          <t>Other / Legacy / Shared</t>
        </is>
      </c>
      <c r="E187" t="inlineStr" s="4">
        <is>
          <t>Admin</t>
        </is>
      </c>
      <c r="F187" t="inlineStr" s="4">
        <is>
          <t>App\Http\Controllers\Admin\SouvenirRefundController@store</t>
        </is>
      </c>
      <c r="G187" t="inlineStr" s="4">
        <is>
          <t>web, Illuminate\Auth\Middleware\Authenticate, Illuminate\Auth\Middleware\EnsureEmailIsVerified, App\Http\Middleware\EnsureAdmin, App\Http\Middleware\LogAdminActivity</t>
        </is>
      </c>
    </row>
    <row r="188" ht="22" customHeight="1">
      <c r="A188" t="inlineStr" s="4">
        <is>
          <t>PUT</t>
        </is>
      </c>
      <c r="B188" t="inlineStr" s="4">
        <is>
          <t>admin/retail-shop/refunds/{refund}</t>
        </is>
      </c>
      <c r="C188" t="inlineStr" s="4">
        <is>
          <t>admin.souvenir.refunds.update</t>
        </is>
      </c>
      <c r="D188" t="inlineStr" s="4">
        <is>
          <t>Other / Legacy / Shared</t>
        </is>
      </c>
      <c r="E188" t="inlineStr" s="4">
        <is>
          <t>Admin</t>
        </is>
      </c>
      <c r="F188" t="inlineStr" s="4">
        <is>
          <t>App\Http\Controllers\Admin\SouvenirRefundController@update</t>
        </is>
      </c>
      <c r="G188" t="inlineStr" s="4">
        <is>
          <t>web, Illuminate\Auth\Middleware\Authenticate, Illuminate\Auth\Middleware\EnsureEmailIsVerified, App\Http\Middleware\EnsureAdmin, App\Http\Middleware\LogAdminActivity</t>
        </is>
      </c>
    </row>
    <row r="189" ht="22" customHeight="1">
      <c r="A189" t="inlineStr" s="4">
        <is>
          <t>GET|HEAD</t>
        </is>
      </c>
      <c r="B189" t="inlineStr" s="4">
        <is>
          <t>admin/retail-shop/reports</t>
        </is>
      </c>
      <c r="C189" t="inlineStr" s="4">
        <is>
          <t>admin.souvenir.reports.index</t>
        </is>
      </c>
      <c r="D189" t="inlineStr" s="4">
        <is>
          <t>Other / Legacy / Shared</t>
        </is>
      </c>
      <c r="E189" t="inlineStr" s="4">
        <is>
          <t>Admin</t>
        </is>
      </c>
      <c r="F189" t="inlineStr" s="4">
        <is>
          <t>App\Http\Controllers\Admin\SouvenirReportController@index</t>
        </is>
      </c>
      <c r="G189" t="inlineStr" s="4">
        <is>
          <t>web, Illuminate\Auth\Middleware\Authenticate, Illuminate\Auth\Middleware\EnsureEmailIsVerified, App\Http\Middleware\EnsureAdmin, App\Http\Middleware\LogAdminActivity</t>
        </is>
      </c>
    </row>
    <row r="190" ht="22" customHeight="1">
      <c r="A190" t="inlineStr" s="4">
        <is>
          <t>GET|HEAD</t>
        </is>
      </c>
      <c r="B190" t="inlineStr" s="4">
        <is>
          <t>admin/retail-shop/settings</t>
        </is>
      </c>
      <c r="C190" t="inlineStr" s="4">
        <is>
          <t>admin.souvenir.settings.index</t>
        </is>
      </c>
      <c r="D190" t="inlineStr" s="4">
        <is>
          <t>Other / Legacy / Shared</t>
        </is>
      </c>
      <c r="E190" t="inlineStr" s="4">
        <is>
          <t>Admin</t>
        </is>
      </c>
      <c r="F190" t="inlineStr" s="4">
        <is>
          <t>App\Http\Controllers\Admin\SouvenirSettingController@index</t>
        </is>
      </c>
      <c r="G190" t="inlineStr" s="4">
        <is>
          <t>web, Illuminate\Auth\Middleware\Authenticate, Illuminate\Auth\Middleware\EnsureEmailIsVerified, App\Http\Middleware\EnsureAdmin, App\Http\Middleware\LogAdminActivity</t>
        </is>
      </c>
    </row>
    <row r="191" ht="22" customHeight="1">
      <c r="A191" t="inlineStr" s="4">
        <is>
          <t>POST</t>
        </is>
      </c>
      <c r="B191" t="inlineStr" s="4">
        <is>
          <t>admin/retail-shop/settings</t>
        </is>
      </c>
      <c r="C191" t="inlineStr" s="4">
        <is>
          <t>admin.souvenir.settings.update</t>
        </is>
      </c>
      <c r="D191" t="inlineStr" s="4">
        <is>
          <t>Other / Legacy / Shared</t>
        </is>
      </c>
      <c r="E191" t="inlineStr" s="4">
        <is>
          <t>Admin</t>
        </is>
      </c>
      <c r="F191" t="inlineStr" s="4">
        <is>
          <t>App\Http\Controllers\Admin\SouvenirSettingController@update</t>
        </is>
      </c>
      <c r="G191" t="inlineStr" s="4">
        <is>
          <t>web, Illuminate\Auth\Middleware\Authenticate, Illuminate\Auth\Middleware\EnsureEmailIsVerified, App\Http\Middleware\EnsureAdmin, App\Http\Middleware\LogAdminActivity</t>
        </is>
      </c>
    </row>
    <row r="192" ht="22" customHeight="1">
      <c r="A192" t="inlineStr" s="4">
        <is>
          <t>GET|HEAD</t>
        </is>
      </c>
      <c r="B192" t="inlineStr" s="4">
        <is>
          <t>admin/retail-shop/variants</t>
        </is>
      </c>
      <c r="C192" t="inlineStr" s="4">
        <is>
          <t>admin.souvenir.variants.index</t>
        </is>
      </c>
      <c r="D192" t="inlineStr" s="4">
        <is>
          <t>Other / Legacy / Shared</t>
        </is>
      </c>
      <c r="E192" t="inlineStr" s="4">
        <is>
          <t>Admin</t>
        </is>
      </c>
      <c r="F192" t="inlineStr" s="4">
        <is>
          <t>App\Http\Controllers\Admin\SouvenirVariantController@index</t>
        </is>
      </c>
      <c r="G192" t="inlineStr" s="4">
        <is>
          <t>web, Illuminate\Auth\Middleware\Authenticate, Illuminate\Auth\Middleware\EnsureEmailIsVerified, App\Http\Middleware\EnsureAdmin, App\Http\Middleware\LogAdminActivity</t>
        </is>
      </c>
    </row>
    <row r="193" ht="22" customHeight="1">
      <c r="A193" t="inlineStr" s="4">
        <is>
          <t>POST</t>
        </is>
      </c>
      <c r="B193" t="inlineStr" s="4">
        <is>
          <t>admin/retail-shop/variants</t>
        </is>
      </c>
      <c r="C193" t="inlineStr" s="4">
        <is>
          <t>admin.souvenir.variants.store</t>
        </is>
      </c>
      <c r="D193" t="inlineStr" s="4">
        <is>
          <t>Other / Legacy / Shared</t>
        </is>
      </c>
      <c r="E193" t="inlineStr" s="4">
        <is>
          <t>Admin</t>
        </is>
      </c>
      <c r="F193" t="inlineStr" s="4">
        <is>
          <t>App\Http\Controllers\Admin\SouvenirVariantController@store</t>
        </is>
      </c>
      <c r="G193" t="inlineStr" s="4">
        <is>
          <t>web, Illuminate\Auth\Middleware\Authenticate, Illuminate\Auth\Middleware\EnsureEmailIsVerified, App\Http\Middleware\EnsureAdmin, App\Http\Middleware\LogAdminActivity</t>
        </is>
      </c>
    </row>
    <row r="194" ht="22" customHeight="1">
      <c r="A194" t="inlineStr" s="4">
        <is>
          <t>PUT</t>
        </is>
      </c>
      <c r="B194" t="inlineStr" s="4">
        <is>
          <t>admin/retail-shop/variants/{variant}</t>
        </is>
      </c>
      <c r="C194" t="inlineStr" s="4">
        <is>
          <t>admin.souvenir.variants.update</t>
        </is>
      </c>
      <c r="D194" t="inlineStr" s="4">
        <is>
          <t>Other / Legacy / Shared</t>
        </is>
      </c>
      <c r="E194" t="inlineStr" s="4">
        <is>
          <t>Admin</t>
        </is>
      </c>
      <c r="F194" t="inlineStr" s="4">
        <is>
          <t>App\Http\Controllers\Admin\SouvenirVariantController@update</t>
        </is>
      </c>
      <c r="G194" t="inlineStr" s="4">
        <is>
          <t>web, Illuminate\Auth\Middleware\Authenticate, Illuminate\Auth\Middleware\EnsureEmailIsVerified, App\Http\Middleware\EnsureAdmin, App\Http\Middleware\LogAdminActivity</t>
        </is>
      </c>
    </row>
    <row r="195" ht="22" customHeight="1">
      <c r="A195" t="inlineStr" s="4">
        <is>
          <t>DELETE</t>
        </is>
      </c>
      <c r="B195" t="inlineStr" s="4">
        <is>
          <t>admin/retail-shop/variants/{variant}</t>
        </is>
      </c>
      <c r="C195" t="inlineStr" s="4">
        <is>
          <t>admin.souvenir.variants.destroy</t>
        </is>
      </c>
      <c r="D195" t="inlineStr" s="4">
        <is>
          <t>Other / Legacy / Shared</t>
        </is>
      </c>
      <c r="E195" t="inlineStr" s="4">
        <is>
          <t>Admin</t>
        </is>
      </c>
      <c r="F195" t="inlineStr" s="4">
        <is>
          <t>App\Http\Controllers\Admin\SouvenirVariantController@destroy</t>
        </is>
      </c>
      <c r="G195" t="inlineStr" s="4">
        <is>
          <t>web, Illuminate\Auth\Middleware\Authenticate, Illuminate\Auth\Middleware\EnsureEmailIsVerified, App\Http\Middleware\EnsureAdmin, App\Http\Middleware\LogAdminActivity</t>
        </is>
      </c>
    </row>
    <row r="196" ht="22" customHeight="1">
      <c r="A196" t="inlineStr" s="4">
        <is>
          <t>GET|HEAD</t>
        </is>
      </c>
      <c r="B196" t="inlineStr" s="4">
        <is>
          <t>admin/reviews</t>
        </is>
      </c>
      <c r="C196" t="inlineStr" s="4">
        <is>
          <t>admin.reviews.index</t>
        </is>
      </c>
      <c r="D196" t="inlineStr" s="4">
        <is>
          <t>Other / Legacy / Shared</t>
        </is>
      </c>
      <c r="E196" t="inlineStr" s="4">
        <is>
          <t>Admin</t>
        </is>
      </c>
      <c r="F196" t="inlineStr" s="4">
        <is>
          <t>App\Http\Controllers\Admin\ProductReviewController@index</t>
        </is>
      </c>
      <c r="G196" t="inlineStr" s="4">
        <is>
          <t>web, Illuminate\Auth\Middleware\Authenticate, Illuminate\Auth\Middleware\EnsureEmailIsVerified, App\Http\Middleware\EnsureAdmin, App\Http\Middleware\LogAdminActivity</t>
        </is>
      </c>
    </row>
    <row r="197" ht="22" customHeight="1">
      <c r="A197" t="inlineStr" s="4">
        <is>
          <t>DELETE</t>
        </is>
      </c>
      <c r="B197" t="inlineStr" s="4">
        <is>
          <t>admin/reviews/{review}</t>
        </is>
      </c>
      <c r="C197" t="inlineStr" s="4">
        <is>
          <t>admin.reviews.destroy</t>
        </is>
      </c>
      <c r="D197" t="inlineStr" s="4">
        <is>
          <t>Other / Legacy / Shared</t>
        </is>
      </c>
      <c r="E197" t="inlineStr" s="4">
        <is>
          <t>Admin</t>
        </is>
      </c>
      <c r="F197" t="inlineStr" s="4">
        <is>
          <t>App\Http\Controllers\Admin\ProductReviewController@destroy</t>
        </is>
      </c>
      <c r="G197" t="inlineStr" s="4">
        <is>
          <t>web, Illuminate\Auth\Middleware\Authenticate, Illuminate\Auth\Middleware\EnsureEmailIsVerified, App\Http\Middleware\EnsureAdmin, App\Http\Middleware\LogAdminActivity</t>
        </is>
      </c>
    </row>
    <row r="198" ht="22" customHeight="1">
      <c r="A198" t="inlineStr" s="4">
        <is>
          <t>POST</t>
        </is>
      </c>
      <c r="B198" t="inlineStr" s="4">
        <is>
          <t>admin/reviews/{review}/reply</t>
        </is>
      </c>
      <c r="C198" t="inlineStr" s="4">
        <is>
          <t>admin.reviews.reply</t>
        </is>
      </c>
      <c r="D198" t="inlineStr" s="4">
        <is>
          <t>Other / Legacy / Shared</t>
        </is>
      </c>
      <c r="E198" t="inlineStr" s="4">
        <is>
          <t>Admin</t>
        </is>
      </c>
      <c r="F198" t="inlineStr" s="4">
        <is>
          <t>App\Http\Controllers\Admin\ProductReviewController@reply</t>
        </is>
      </c>
      <c r="G198" t="inlineStr" s="4">
        <is>
          <t>web, Illuminate\Auth\Middleware\Authenticate, Illuminate\Auth\Middleware\EnsureEmailIsVerified, App\Http\Middleware\EnsureAdmin, App\Http\Middleware\LogAdminActivity</t>
        </is>
      </c>
    </row>
    <row r="199" ht="22" customHeight="1">
      <c r="A199" t="inlineStr" s="4">
        <is>
          <t>GET|HEAD|POST|PUT|PATCH|DELETE|OPTIONS</t>
        </is>
      </c>
      <c r="B199" t="inlineStr" s="4">
        <is>
          <t>admin/souvenir</t>
        </is>
      </c>
      <c r="C199" s="4"/>
      <c r="D199" t="inlineStr" s="4">
        <is>
          <t>Other / Legacy / Shared</t>
        </is>
      </c>
      <c r="E199" t="inlineStr" s="4">
        <is>
          <t>Admin</t>
        </is>
      </c>
      <c r="F199" t="inlineStr" s="4">
        <is>
          <t>Illuminate\Routing\RedirectController</t>
        </is>
      </c>
      <c r="G199" t="inlineStr" s="4">
        <is>
          <t>web, Illuminate\Auth\Middleware\Authenticate, Illuminate\Auth\Middleware\EnsureEmailIsVerified, App\Http\Middleware\EnsureAdmin, App\Http\Middleware\LogAdminActivity</t>
        </is>
      </c>
    </row>
    <row r="200" ht="22" customHeight="1">
      <c r="A200" t="inlineStr" s="4">
        <is>
          <t>GET|HEAD|POST|PUT|PATCH|DELETE|OPTIONS</t>
        </is>
      </c>
      <c r="B200" t="inlineStr" s="4">
        <is>
          <t>admin/souvenir/{any}</t>
        </is>
      </c>
      <c r="C200" s="4"/>
      <c r="D200" t="inlineStr" s="4">
        <is>
          <t>Other / Legacy / Shared</t>
        </is>
      </c>
      <c r="E200" t="inlineStr" s="4">
        <is>
          <t>Admin</t>
        </is>
      </c>
      <c r="F200" t="inlineStr" s="4">
        <is>
          <t>Illuminate\Routing\RedirectController</t>
        </is>
      </c>
      <c r="G200" t="inlineStr" s="4">
        <is>
          <t>web, Illuminate\Auth\Middleware\Authenticate, Illuminate\Auth\Middleware\EnsureEmailIsVerified, App\Http\Middleware\EnsureAdmin, App\Http\Middleware\LogAdminActivity</t>
        </is>
      </c>
    </row>
    <row r="201" ht="22" customHeight="1">
      <c r="A201" t="inlineStr" s="4">
        <is>
          <t>GET|HEAD</t>
        </is>
      </c>
      <c r="B201" t="inlineStr" s="4">
        <is>
          <t>admin/special-programs</t>
        </is>
      </c>
      <c r="C201" t="inlineStr" s="4">
        <is>
          <t>admin.special-programs.index</t>
        </is>
      </c>
      <c r="D201" t="inlineStr" s="4">
        <is>
          <t>Other / Legacy / Shared</t>
        </is>
      </c>
      <c r="E201" t="inlineStr" s="4">
        <is>
          <t>Admin</t>
        </is>
      </c>
      <c r="F201" t="inlineStr" s="4">
        <is>
          <t>App\Http\Controllers\Admin\SpecialProgramController@index</t>
        </is>
      </c>
      <c r="G201" t="inlineStr" s="4">
        <is>
          <t>web, Illuminate\Auth\Middleware\Authenticate, Illuminate\Auth\Middleware\EnsureEmailIsVerified, App\Http\Middleware\EnsureAdmin, App\Http\Middleware\LogAdminActivity</t>
        </is>
      </c>
    </row>
    <row r="202" ht="22" customHeight="1">
      <c r="A202" t="inlineStr" s="4">
        <is>
          <t>POST</t>
        </is>
      </c>
      <c r="B202" t="inlineStr" s="4">
        <is>
          <t>admin/special-programs</t>
        </is>
      </c>
      <c r="C202" t="inlineStr" s="4">
        <is>
          <t>admin.special-programs.store</t>
        </is>
      </c>
      <c r="D202" t="inlineStr" s="4">
        <is>
          <t>Other / Legacy / Shared</t>
        </is>
      </c>
      <c r="E202" t="inlineStr" s="4">
        <is>
          <t>Admin</t>
        </is>
      </c>
      <c r="F202" t="inlineStr" s="4">
        <is>
          <t>App\Http\Controllers\Admin\SpecialProgramController@store</t>
        </is>
      </c>
      <c r="G202" t="inlineStr" s="4">
        <is>
          <t>web, Illuminate\Auth\Middleware\Authenticate, Illuminate\Auth\Middleware\EnsureEmailIsVerified, App\Http\Middleware\EnsureAdmin, App\Http\Middleware\LogAdminActivity</t>
        </is>
      </c>
    </row>
    <row r="203" ht="22" customHeight="1">
      <c r="A203" t="inlineStr" s="4">
        <is>
          <t>GET|HEAD</t>
        </is>
      </c>
      <c r="B203" t="inlineStr" s="4">
        <is>
          <t>admin/special-programs/attendees</t>
        </is>
      </c>
      <c r="C203" t="inlineStr" s="4">
        <is>
          <t>admin.special-programs.attendees.index</t>
        </is>
      </c>
      <c r="D203" t="inlineStr" s="4">
        <is>
          <t>Other / Legacy / Shared</t>
        </is>
      </c>
      <c r="E203" t="inlineStr" s="4">
        <is>
          <t>Admin</t>
        </is>
      </c>
      <c r="F203" t="inlineStr" s="4">
        <is>
          <t>App\Http\Controllers\Admin\SpecialProgramAttendeeController@index</t>
        </is>
      </c>
      <c r="G203" t="inlineStr" s="4">
        <is>
          <t>web, Illuminate\Auth\Middleware\Authenticate, Illuminate\Auth\Middleware\EnsureEmailIsVerified, App\Http\Middleware\EnsureAdmin, App\Http\Middleware\LogAdminActivity</t>
        </is>
      </c>
    </row>
    <row r="204" ht="22" customHeight="1">
      <c r="A204" t="inlineStr" s="4">
        <is>
          <t>GET|HEAD</t>
        </is>
      </c>
      <c r="B204" t="inlineStr" s="4">
        <is>
          <t>admin/special-programs/bookings</t>
        </is>
      </c>
      <c r="C204" t="inlineStr" s="4">
        <is>
          <t>admin.special-programs.bookings.index</t>
        </is>
      </c>
      <c r="D204" t="inlineStr" s="4">
        <is>
          <t>Other / Legacy / Shared</t>
        </is>
      </c>
      <c r="E204" t="inlineStr" s="4">
        <is>
          <t>Admin</t>
        </is>
      </c>
      <c r="F204" t="inlineStr" s="4">
        <is>
          <t>App\Http\Controllers\Admin\SpecialProgramBookingController@index</t>
        </is>
      </c>
      <c r="G204" t="inlineStr" s="4">
        <is>
          <t>web, Illuminate\Auth\Middleware\Authenticate, Illuminate\Auth\Middleware\EnsureEmailIsVerified, App\Http\Middleware\EnsureAdmin, App\Http\Middleware\LogAdminActivity</t>
        </is>
      </c>
    </row>
    <row r="205" ht="22" customHeight="1">
      <c r="A205" t="inlineStr" s="4">
        <is>
          <t>GET|HEAD</t>
        </is>
      </c>
      <c r="B205" t="inlineStr" s="4">
        <is>
          <t>admin/special-programs/bookings/{booking}</t>
        </is>
      </c>
      <c r="C205" t="inlineStr" s="4">
        <is>
          <t>admin.special-programs.bookings.show</t>
        </is>
      </c>
      <c r="D205" t="inlineStr" s="4">
        <is>
          <t>Other / Legacy / Shared</t>
        </is>
      </c>
      <c r="E205" t="inlineStr" s="4">
        <is>
          <t>Admin</t>
        </is>
      </c>
      <c r="F205" t="inlineStr" s="4">
        <is>
          <t>App\Http\Controllers\Admin\SpecialProgramBookingController@show</t>
        </is>
      </c>
      <c r="G205" t="inlineStr" s="4">
        <is>
          <t>web, Illuminate\Auth\Middleware\Authenticate, Illuminate\Auth\Middleware\EnsureEmailIsVerified, App\Http\Middleware\EnsureAdmin, App\Http\Middleware\LogAdminActivity</t>
        </is>
      </c>
    </row>
    <row r="206" ht="22" customHeight="1">
      <c r="A206" t="inlineStr" s="4">
        <is>
          <t>POST</t>
        </is>
      </c>
      <c r="B206" t="inlineStr" s="4">
        <is>
          <t>admin/special-programs/bookings/{booking}/status</t>
        </is>
      </c>
      <c r="C206" t="inlineStr" s="4">
        <is>
          <t>admin.special-programs.bookings.status</t>
        </is>
      </c>
      <c r="D206" t="inlineStr" s="4">
        <is>
          <t>Other / Legacy / Shared</t>
        </is>
      </c>
      <c r="E206" t="inlineStr" s="4">
        <is>
          <t>Admin</t>
        </is>
      </c>
      <c r="F206" t="inlineStr" s="4">
        <is>
          <t>App\Http\Controllers\Admin\SpecialProgramBookingController@updateStatus</t>
        </is>
      </c>
      <c r="G206" t="inlineStr" s="4">
        <is>
          <t>web, Illuminate\Auth\Middleware\Authenticate, Illuminate\Auth\Middleware\EnsureEmailIsVerified, App\Http\Middleware\EnsureAdmin, App\Http\Middleware\LogAdminActivity</t>
        </is>
      </c>
    </row>
    <row r="207" ht="22" customHeight="1">
      <c r="A207" t="inlineStr" s="4">
        <is>
          <t>GET|HEAD</t>
        </is>
      </c>
      <c r="B207" t="inlineStr" s="4">
        <is>
          <t>admin/special-programs/create</t>
        </is>
      </c>
      <c r="C207" t="inlineStr" s="4">
        <is>
          <t>admin.special-programs.create</t>
        </is>
      </c>
      <c r="D207" t="inlineStr" s="4">
        <is>
          <t>Other / Legacy / Shared</t>
        </is>
      </c>
      <c r="E207" t="inlineStr" s="4">
        <is>
          <t>Admin</t>
        </is>
      </c>
      <c r="F207" t="inlineStr" s="4">
        <is>
          <t>App\Http\Controllers\Admin\SpecialProgramController@create</t>
        </is>
      </c>
      <c r="G207" t="inlineStr" s="4">
        <is>
          <t>web, Illuminate\Auth\Middleware\Authenticate, Illuminate\Auth\Middleware\EnsureEmailIsVerified, App\Http\Middleware\EnsureAdmin, App\Http\Middleware\LogAdminActivity</t>
        </is>
      </c>
    </row>
    <row r="208" ht="22" customHeight="1">
      <c r="A208" t="inlineStr" s="4">
        <is>
          <t>GET|HEAD</t>
        </is>
      </c>
      <c r="B208" t="inlineStr" s="4">
        <is>
          <t>admin/special-programs/reviews</t>
        </is>
      </c>
      <c r="C208" t="inlineStr" s="4">
        <is>
          <t>admin.special-programs.reviews.index</t>
        </is>
      </c>
      <c r="D208" t="inlineStr" s="4">
        <is>
          <t>Other / Legacy / Shared</t>
        </is>
      </c>
      <c r="E208" t="inlineStr" s="4">
        <is>
          <t>Admin</t>
        </is>
      </c>
      <c r="F208" t="inlineStr" s="4">
        <is>
          <t>App\Http\Controllers\Admin\SpecialProgramReviewController@index</t>
        </is>
      </c>
      <c r="G208" t="inlineStr" s="4">
        <is>
          <t>web, Illuminate\Auth\Middleware\Authenticate, Illuminate\Auth\Middleware\EnsureEmailIsVerified, App\Http\Middleware\EnsureAdmin, App\Http\Middleware\LogAdminActivity</t>
        </is>
      </c>
    </row>
    <row r="209" ht="22" customHeight="1">
      <c r="A209" t="inlineStr" s="4">
        <is>
          <t>DELETE</t>
        </is>
      </c>
      <c r="B209" t="inlineStr" s="4">
        <is>
          <t>admin/special-programs/reviews/{review}</t>
        </is>
      </c>
      <c r="C209" t="inlineStr" s="4">
        <is>
          <t>admin.special-programs.reviews.destroy</t>
        </is>
      </c>
      <c r="D209" t="inlineStr" s="4">
        <is>
          <t>Other / Legacy / Shared</t>
        </is>
      </c>
      <c r="E209" t="inlineStr" s="4">
        <is>
          <t>Admin</t>
        </is>
      </c>
      <c r="F209" t="inlineStr" s="4">
        <is>
          <t>App\Http\Controllers\Admin\SpecialProgramReviewController@destroy</t>
        </is>
      </c>
      <c r="G209" t="inlineStr" s="4">
        <is>
          <t>web, Illuminate\Auth\Middleware\Authenticate, Illuminate\Auth\Middleware\EnsureEmailIsVerified, App\Http\Middleware\EnsureAdmin, App\Http\Middleware\LogAdminActivity</t>
        </is>
      </c>
    </row>
    <row r="210" ht="22" customHeight="1">
      <c r="A210" t="inlineStr" s="4">
        <is>
          <t>POST</t>
        </is>
      </c>
      <c r="B210" t="inlineStr" s="4">
        <is>
          <t>admin/special-programs/reviews/{review}/reply</t>
        </is>
      </c>
      <c r="C210" t="inlineStr" s="4">
        <is>
          <t>admin.special-programs.reviews.reply</t>
        </is>
      </c>
      <c r="D210" t="inlineStr" s="4">
        <is>
          <t>Other / Legacy / Shared</t>
        </is>
      </c>
      <c r="E210" t="inlineStr" s="4">
        <is>
          <t>Admin</t>
        </is>
      </c>
      <c r="F210" t="inlineStr" s="4">
        <is>
          <t>App\Http\Controllers\Admin\SpecialProgramReviewController@reply</t>
        </is>
      </c>
      <c r="G210" t="inlineStr" s="4">
        <is>
          <t>web, Illuminate\Auth\Middleware\Authenticate, Illuminate\Auth\Middleware\EnsureEmailIsVerified, App\Http\Middleware\EnsureAdmin, App\Http\Middleware\LogAdminActivity</t>
        </is>
      </c>
    </row>
    <row r="211" ht="22" customHeight="1">
      <c r="A211" t="inlineStr" s="4">
        <is>
          <t>GET|HEAD</t>
        </is>
      </c>
      <c r="B211" t="inlineStr" s="4">
        <is>
          <t>admin/special-programs/scans</t>
        </is>
      </c>
      <c r="C211" t="inlineStr" s="4">
        <is>
          <t>admin.special-programs.scans.index</t>
        </is>
      </c>
      <c r="D211" t="inlineStr" s="4">
        <is>
          <t>Other / Legacy / Shared</t>
        </is>
      </c>
      <c r="E211" t="inlineStr" s="4">
        <is>
          <t>Admin</t>
        </is>
      </c>
      <c r="F211" t="inlineStr" s="4">
        <is>
          <t>App\Http\Controllers\Admin\SpecialProgramScanController@index</t>
        </is>
      </c>
      <c r="G211" t="inlineStr" s="4">
        <is>
          <t>web, Illuminate\Auth\Middleware\Authenticate, Illuminate\Auth\Middleware\EnsureEmailIsVerified, App\Http\Middleware\EnsureAdmin, App\Http\Middleware\LogAdminActivity</t>
        </is>
      </c>
    </row>
    <row r="212" ht="22" customHeight="1">
      <c r="A212" t="inlineStr" s="4">
        <is>
          <t>POST</t>
        </is>
      </c>
      <c r="B212" t="inlineStr" s="4">
        <is>
          <t>admin/special-programs/scans</t>
        </is>
      </c>
      <c r="C212" t="inlineStr" s="4">
        <is>
          <t>admin.special-programs.scans.store</t>
        </is>
      </c>
      <c r="D212" t="inlineStr" s="4">
        <is>
          <t>Other / Legacy / Shared</t>
        </is>
      </c>
      <c r="E212" t="inlineStr" s="4">
        <is>
          <t>Admin</t>
        </is>
      </c>
      <c r="F212" t="inlineStr" s="4">
        <is>
          <t>App\Http\Controllers\Admin\SpecialProgramScanController@store</t>
        </is>
      </c>
      <c r="G212" t="inlineStr" s="4">
        <is>
          <t>web, Illuminate\Auth\Middleware\Authenticate, Illuminate\Auth\Middleware\EnsureEmailIsVerified, App\Http\Middleware\EnsureAdmin, App\Http\Middleware\LogAdminActivity</t>
        </is>
      </c>
    </row>
    <row r="213" ht="22" customHeight="1">
      <c r="A213" t="inlineStr" s="4">
        <is>
          <t>GET|HEAD</t>
        </is>
      </c>
      <c r="B213" t="inlineStr" s="4">
        <is>
          <t>admin/special-programs/tickets</t>
        </is>
      </c>
      <c r="C213" t="inlineStr" s="4">
        <is>
          <t>admin.special-programs.tickets.index</t>
        </is>
      </c>
      <c r="D213" t="inlineStr" s="4">
        <is>
          <t>Other / Legacy / Shared</t>
        </is>
      </c>
      <c r="E213" t="inlineStr" s="4">
        <is>
          <t>Admin</t>
        </is>
      </c>
      <c r="F213" t="inlineStr" s="4">
        <is>
          <t>App\Http\Controllers\Admin\SpecialProgramTicketController@index</t>
        </is>
      </c>
      <c r="G213" t="inlineStr" s="4">
        <is>
          <t>web, Illuminate\Auth\Middleware\Authenticate, Illuminate\Auth\Middleware\EnsureEmailIsVerified, App\Http\Middleware\EnsureAdmin, App\Http\Middleware\LogAdminActivity</t>
        </is>
      </c>
    </row>
    <row r="214" ht="22" customHeight="1">
      <c r="A214" t="inlineStr" s="4">
        <is>
          <t>POST</t>
        </is>
      </c>
      <c r="B214" t="inlineStr" s="4">
        <is>
          <t>admin/special-programs/tickets</t>
        </is>
      </c>
      <c r="C214" t="inlineStr" s="4">
        <is>
          <t>admin.special-programs.tickets.store</t>
        </is>
      </c>
      <c r="D214" t="inlineStr" s="4">
        <is>
          <t>Other / Legacy / Shared</t>
        </is>
      </c>
      <c r="E214" t="inlineStr" s="4">
        <is>
          <t>Admin</t>
        </is>
      </c>
      <c r="F214" t="inlineStr" s="4">
        <is>
          <t>App\Http\Controllers\Admin\SpecialProgramTicketController@store</t>
        </is>
      </c>
      <c r="G214" t="inlineStr" s="4">
        <is>
          <t>web, Illuminate\Auth\Middleware\Authenticate, Illuminate\Auth\Middleware\EnsureEmailIsVerified, App\Http\Middleware\EnsureAdmin, App\Http\Middleware\LogAdminActivity</t>
        </is>
      </c>
    </row>
    <row r="215" ht="22" customHeight="1">
      <c r="A215" t="inlineStr" s="4">
        <is>
          <t>PUT</t>
        </is>
      </c>
      <c r="B215" t="inlineStr" s="4">
        <is>
          <t>admin/special-programs/tickets/{ticket}</t>
        </is>
      </c>
      <c r="C215" t="inlineStr" s="4">
        <is>
          <t>admin.special-programs.tickets.update</t>
        </is>
      </c>
      <c r="D215" t="inlineStr" s="4">
        <is>
          <t>Other / Legacy / Shared</t>
        </is>
      </c>
      <c r="E215" t="inlineStr" s="4">
        <is>
          <t>Admin</t>
        </is>
      </c>
      <c r="F215" t="inlineStr" s="4">
        <is>
          <t>App\Http\Controllers\Admin\SpecialProgramTicketController@update</t>
        </is>
      </c>
      <c r="G215" t="inlineStr" s="4">
        <is>
          <t>web, Illuminate\Auth\Middleware\Authenticate, Illuminate\Auth\Middleware\EnsureEmailIsVerified, App\Http\Middleware\EnsureAdmin, App\Http\Middleware\LogAdminActivity</t>
        </is>
      </c>
    </row>
    <row r="216" ht="22" customHeight="1">
      <c r="A216" t="inlineStr" s="4">
        <is>
          <t>DELETE</t>
        </is>
      </c>
      <c r="B216" t="inlineStr" s="4">
        <is>
          <t>admin/special-programs/tickets/{ticket}</t>
        </is>
      </c>
      <c r="C216" t="inlineStr" s="4">
        <is>
          <t>admin.special-programs.tickets.destroy</t>
        </is>
      </c>
      <c r="D216" t="inlineStr" s="4">
        <is>
          <t>Other / Legacy / Shared</t>
        </is>
      </c>
      <c r="E216" t="inlineStr" s="4">
        <is>
          <t>Admin</t>
        </is>
      </c>
      <c r="F216" t="inlineStr" s="4">
        <is>
          <t>App\Http\Controllers\Admin\SpecialProgramTicketController@destroy</t>
        </is>
      </c>
      <c r="G216" t="inlineStr" s="4">
        <is>
          <t>web, Illuminate\Auth\Middleware\Authenticate, Illuminate\Auth\Middleware\EnsureEmailIsVerified, App\Http\Middleware\EnsureAdmin, App\Http\Middleware\LogAdminActivity</t>
        </is>
      </c>
    </row>
    <row r="217" ht="22" customHeight="1">
      <c r="A217" t="inlineStr" s="4">
        <is>
          <t>PUT</t>
        </is>
      </c>
      <c r="B217" t="inlineStr" s="4">
        <is>
          <t>admin/special-programs/{program}</t>
        </is>
      </c>
      <c r="C217" t="inlineStr" s="4">
        <is>
          <t>admin.special-programs.update</t>
        </is>
      </c>
      <c r="D217" t="inlineStr" s="4">
        <is>
          <t>Other / Legacy / Shared</t>
        </is>
      </c>
      <c r="E217" t="inlineStr" s="4">
        <is>
          <t>Admin</t>
        </is>
      </c>
      <c r="F217" t="inlineStr" s="4">
        <is>
          <t>App\Http\Controllers\Admin\SpecialProgramController@update</t>
        </is>
      </c>
      <c r="G217" t="inlineStr" s="4">
        <is>
          <t>web, Illuminate\Auth\Middleware\Authenticate, Illuminate\Auth\Middleware\EnsureEmailIsVerified, App\Http\Middleware\EnsureAdmin, App\Http\Middleware\LogAdminActivity</t>
        </is>
      </c>
    </row>
    <row r="218" ht="22" customHeight="1">
      <c r="A218" t="inlineStr" s="4">
        <is>
          <t>DELETE</t>
        </is>
      </c>
      <c r="B218" t="inlineStr" s="4">
        <is>
          <t>admin/special-programs/{program}</t>
        </is>
      </c>
      <c r="C218" t="inlineStr" s="4">
        <is>
          <t>admin.special-programs.destroy</t>
        </is>
      </c>
      <c r="D218" t="inlineStr" s="4">
        <is>
          <t>Other / Legacy / Shared</t>
        </is>
      </c>
      <c r="E218" t="inlineStr" s="4">
        <is>
          <t>Admin</t>
        </is>
      </c>
      <c r="F218" t="inlineStr" s="4">
        <is>
          <t>App\Http\Controllers\Admin\SpecialProgramController@destroy</t>
        </is>
      </c>
      <c r="G218" t="inlineStr" s="4">
        <is>
          <t>web, Illuminate\Auth\Middleware\Authenticate, Illuminate\Auth\Middleware\EnsureEmailIsVerified, App\Http\Middleware\EnsureAdmin, App\Http\Middleware\LogAdminActivity</t>
        </is>
      </c>
    </row>
    <row r="219" ht="22" customHeight="1">
      <c r="A219" t="inlineStr" s="4">
        <is>
          <t>GET|HEAD</t>
        </is>
      </c>
      <c r="B219" t="inlineStr" s="4">
        <is>
          <t>admin/special-programs/{program}</t>
        </is>
      </c>
      <c r="C219" t="inlineStr" s="4">
        <is>
          <t>admin.special-programs.show</t>
        </is>
      </c>
      <c r="D219" t="inlineStr" s="4">
        <is>
          <t>Other / Legacy / Shared</t>
        </is>
      </c>
      <c r="E219" t="inlineStr" s="4">
        <is>
          <t>Admin</t>
        </is>
      </c>
      <c r="F219" t="inlineStr" s="4">
        <is>
          <t>App\Http\Controllers\Admin\SpecialProgramController@show</t>
        </is>
      </c>
      <c r="G219" t="inlineStr" s="4">
        <is>
          <t>web, Illuminate\Auth\Middleware\Authenticate, Illuminate\Auth\Middleware\EnsureEmailIsVerified, App\Http\Middleware\EnsureAdmin, App\Http\Middleware\LogAdminActivity</t>
        </is>
      </c>
    </row>
    <row r="220" ht="22" customHeight="1">
      <c r="A220" t="inlineStr" s="4">
        <is>
          <t>GET|HEAD</t>
        </is>
      </c>
      <c r="B220" t="inlineStr" s="4">
        <is>
          <t>admin/special-programs/{program}/edit</t>
        </is>
      </c>
      <c r="C220" t="inlineStr" s="4">
        <is>
          <t>admin.special-programs.edit</t>
        </is>
      </c>
      <c r="D220" t="inlineStr" s="4">
        <is>
          <t>Other / Legacy / Shared</t>
        </is>
      </c>
      <c r="E220" t="inlineStr" s="4">
        <is>
          <t>Admin</t>
        </is>
      </c>
      <c r="F220" t="inlineStr" s="4">
        <is>
          <t>App\Http\Controllers\Admin\SpecialProgramController@edit</t>
        </is>
      </c>
      <c r="G220" t="inlineStr" s="4">
        <is>
          <t>web, Illuminate\Auth\Middleware\Authenticate, Illuminate\Auth\Middleware\EnsureEmailIsVerified, App\Http\Middleware\EnsureAdmin, App\Http\Middleware\LogAdminActivity</t>
        </is>
      </c>
    </row>
    <row r="221" ht="22" customHeight="1">
      <c r="A221" t="inlineStr" s="4">
        <is>
          <t>POST</t>
        </is>
      </c>
      <c r="B221" t="inlineStr" s="4">
        <is>
          <t>admin/special-programs/{program}/status</t>
        </is>
      </c>
      <c r="C221" t="inlineStr" s="4">
        <is>
          <t>admin.special-programs.status</t>
        </is>
      </c>
      <c r="D221" t="inlineStr" s="4">
        <is>
          <t>Other / Legacy / Shared</t>
        </is>
      </c>
      <c r="E221" t="inlineStr" s="4">
        <is>
          <t>Admin</t>
        </is>
      </c>
      <c r="F221" t="inlineStr" s="4">
        <is>
          <t>App\Http\Controllers\Admin\SpecialProgramController@updateStatus</t>
        </is>
      </c>
      <c r="G221" t="inlineStr" s="4">
        <is>
          <t>web, Illuminate\Auth\Middleware\Authenticate, Illuminate\Auth\Middleware\EnsureEmailIsVerified, App\Http\Middleware\EnsureAdmin, App\Http\Middleware\LogAdminActivity</t>
        </is>
      </c>
    </row>
    <row r="222" ht="22" customHeight="1">
      <c r="A222" t="inlineStr" s="4">
        <is>
          <t>GET|HEAD</t>
        </is>
      </c>
      <c r="B222" t="inlineStr" s="4">
        <is>
          <t>admin/system/audit-logs</t>
        </is>
      </c>
      <c r="C222" t="inlineStr" s="4">
        <is>
          <t>admin.audit-logs.index</t>
        </is>
      </c>
      <c r="D222" t="inlineStr" s="4">
        <is>
          <t>Admin System</t>
        </is>
      </c>
      <c r="E222" t="inlineStr" s="4">
        <is>
          <t>Admin</t>
        </is>
      </c>
      <c r="F222" t="inlineStr" s="4">
        <is>
          <t>App\Http\Controllers\Admin\AdminAuditLogController@index</t>
        </is>
      </c>
      <c r="G222" t="inlineStr" s="4">
        <is>
          <t>web, Illuminate\Auth\Middleware\Authenticate, Illuminate\Auth\Middleware\EnsureEmailIsVerified, App\Http\Middleware\EnsureAdmin, App\Http\Middleware\LogAdminActivity</t>
        </is>
      </c>
    </row>
    <row r="223" ht="22" customHeight="1">
      <c r="A223" t="inlineStr" s="4">
        <is>
          <t>GET|HEAD</t>
        </is>
      </c>
      <c r="B223" t="inlineStr" s="4">
        <is>
          <t>admin/system/notifications</t>
        </is>
      </c>
      <c r="C223" t="inlineStr" s="4">
        <is>
          <t>admin.system.notifications.index</t>
        </is>
      </c>
      <c r="D223" t="inlineStr" s="4">
        <is>
          <t>Admin System</t>
        </is>
      </c>
      <c r="E223" t="inlineStr" s="4">
        <is>
          <t>Admin</t>
        </is>
      </c>
      <c r="F223" t="inlineStr" s="4">
        <is>
          <t>App\Http\Controllers\Admin\NotificationControlController@index</t>
        </is>
      </c>
      <c r="G223" t="inlineStr" s="4">
        <is>
          <t>web, Illuminate\Auth\Middleware\Authenticate, Illuminate\Auth\Middleware\EnsureEmailIsVerified, App\Http\Middleware\EnsureAdmin, App\Http\Middleware\LogAdminActivity</t>
        </is>
      </c>
    </row>
    <row r="224" ht="22" customHeight="1">
      <c r="A224" t="inlineStr" s="4">
        <is>
          <t>POST</t>
        </is>
      </c>
      <c r="B224" t="inlineStr" s="4">
        <is>
          <t>admin/system/notifications/broadcast</t>
        </is>
      </c>
      <c r="C224" t="inlineStr" s="4">
        <is>
          <t>admin.system.notifications.broadcast</t>
        </is>
      </c>
      <c r="D224" t="inlineStr" s="4">
        <is>
          <t>Admin System</t>
        </is>
      </c>
      <c r="E224" t="inlineStr" s="4">
        <is>
          <t>Admin</t>
        </is>
      </c>
      <c r="F224" t="inlineStr" s="4">
        <is>
          <t>App\Http\Controllers\Admin\NotificationControlController@broadcast</t>
        </is>
      </c>
      <c r="G224" t="inlineStr" s="4">
        <is>
          <t>web, Illuminate\Auth\Middleware\Authenticate, Illuminate\Auth\Middleware\EnsureEmailIsVerified, App\Http\Middleware\EnsureAdmin, App\Http\Middleware\LogAdminActivity</t>
        </is>
      </c>
    </row>
    <row r="225" ht="22" customHeight="1">
      <c r="A225" t="inlineStr" s="4">
        <is>
          <t>POST</t>
        </is>
      </c>
      <c r="B225" t="inlineStr" s="4">
        <is>
          <t>admin/system/notifications/templates</t>
        </is>
      </c>
      <c r="C225" t="inlineStr" s="4">
        <is>
          <t>admin.system.notifications.templates.store</t>
        </is>
      </c>
      <c r="D225" t="inlineStr" s="4">
        <is>
          <t>Admin System</t>
        </is>
      </c>
      <c r="E225" t="inlineStr" s="4">
        <is>
          <t>Admin</t>
        </is>
      </c>
      <c r="F225" t="inlineStr" s="4">
        <is>
          <t>App\Http\Controllers\Admin\NotificationControlController@storeTemplate</t>
        </is>
      </c>
      <c r="G225" t="inlineStr" s="4">
        <is>
          <t>web, Illuminate\Auth\Middleware\Authenticate, Illuminate\Auth\Middleware\EnsureEmailIsVerified, App\Http\Middleware\EnsureAdmin, App\Http\Middleware\LogAdminActivity</t>
        </is>
      </c>
    </row>
    <row r="226" ht="22" customHeight="1">
      <c r="A226" t="inlineStr" s="4">
        <is>
          <t>PUT</t>
        </is>
      </c>
      <c r="B226" t="inlineStr" s="4">
        <is>
          <t>admin/system/notifications/templates/{template}</t>
        </is>
      </c>
      <c r="C226" t="inlineStr" s="4">
        <is>
          <t>admin.system.notifications.templates.update</t>
        </is>
      </c>
      <c r="D226" t="inlineStr" s="4">
        <is>
          <t>Admin System</t>
        </is>
      </c>
      <c r="E226" t="inlineStr" s="4">
        <is>
          <t>Admin</t>
        </is>
      </c>
      <c r="F226" t="inlineStr" s="4">
        <is>
          <t>App\Http\Controllers\Admin\NotificationControlController@updateTemplate</t>
        </is>
      </c>
      <c r="G226" t="inlineStr" s="4">
        <is>
          <t>web, Illuminate\Auth\Middleware\Authenticate, Illuminate\Auth\Middleware\EnsureEmailIsVerified, App\Http\Middleware\EnsureAdmin, App\Http\Middleware\LogAdminActivity</t>
        </is>
      </c>
    </row>
    <row r="227" ht="22" customHeight="1">
      <c r="A227" t="inlineStr" s="4">
        <is>
          <t>DELETE</t>
        </is>
      </c>
      <c r="B227" t="inlineStr" s="4">
        <is>
          <t>admin/system/notifications/templates/{template}</t>
        </is>
      </c>
      <c r="C227" t="inlineStr" s="4">
        <is>
          <t>admin.system.notifications.templates.destroy</t>
        </is>
      </c>
      <c r="D227" t="inlineStr" s="4">
        <is>
          <t>Admin System</t>
        </is>
      </c>
      <c r="E227" t="inlineStr" s="4">
        <is>
          <t>Admin</t>
        </is>
      </c>
      <c r="F227" t="inlineStr" s="4">
        <is>
          <t>App\Http\Controllers\Admin\NotificationControlController@destroyTemplate</t>
        </is>
      </c>
      <c r="G227" t="inlineStr" s="4">
        <is>
          <t>web, Illuminate\Auth\Middleware\Authenticate, Illuminate\Auth\Middleware\EnsureEmailIsVerified, App\Http\Middleware\EnsureAdmin, App\Http\Middleware\LogAdminActivity</t>
        </is>
      </c>
    </row>
    <row r="228" ht="22" customHeight="1">
      <c r="A228" t="inlineStr" s="4">
        <is>
          <t>PUT</t>
        </is>
      </c>
      <c r="B228" t="inlineStr" s="4">
        <is>
          <t>admin/system/notifications/triggers/{trigger}</t>
        </is>
      </c>
      <c r="C228" t="inlineStr" s="4">
        <is>
          <t>admin.system.notifications.triggers.update</t>
        </is>
      </c>
      <c r="D228" t="inlineStr" s="4">
        <is>
          <t>Admin System</t>
        </is>
      </c>
      <c r="E228" t="inlineStr" s="4">
        <is>
          <t>Admin</t>
        </is>
      </c>
      <c r="F228" t="inlineStr" s="4">
        <is>
          <t>App\Http\Controllers\Admin\NotificationControlController@updateTrigger</t>
        </is>
      </c>
      <c r="G228" t="inlineStr" s="4">
        <is>
          <t>web, Illuminate\Auth\Middleware\Authenticate, Illuminate\Auth\Middleware\EnsureEmailIsVerified, App\Http\Middleware\EnsureAdmin, App\Http\Middleware\LogAdminActivity</t>
        </is>
      </c>
    </row>
    <row r="229" ht="22" customHeight="1">
      <c r="A229" t="inlineStr" s="4">
        <is>
          <t>POST</t>
        </is>
      </c>
      <c r="B229" t="inlineStr" s="4">
        <is>
          <t>admin/system/reset</t>
        </is>
      </c>
      <c r="C229" t="inlineStr" s="4">
        <is>
          <t>admin.system.reset</t>
        </is>
      </c>
      <c r="D229" t="inlineStr" s="4">
        <is>
          <t>Admin System</t>
        </is>
      </c>
      <c r="E229" t="inlineStr" s="4">
        <is>
          <t>Admin</t>
        </is>
      </c>
      <c r="F229" t="inlineStr" s="4">
        <is>
          <t>App\Http\Controllers\Admin\SystemSettingController@reset</t>
        </is>
      </c>
      <c r="G229" t="inlineStr" s="4">
        <is>
          <t>web, Illuminate\Auth\Middleware\Authenticate, Illuminate\Auth\Middleware\EnsureEmailIsVerified, App\Http\Middleware\EnsureAdmin, App\Http\Middleware\LogAdminActivity</t>
        </is>
      </c>
    </row>
    <row r="230" ht="22" customHeight="1">
      <c r="A230" t="inlineStr" s="4">
        <is>
          <t>GET|HEAD</t>
        </is>
      </c>
      <c r="B230" t="inlineStr" s="4">
        <is>
          <t>admin/system/roles</t>
        </is>
      </c>
      <c r="C230" t="inlineStr" s="4">
        <is>
          <t>admin.system.roles.index</t>
        </is>
      </c>
      <c r="D230" t="inlineStr" s="4">
        <is>
          <t>Admin System</t>
        </is>
      </c>
      <c r="E230" t="inlineStr" s="4">
        <is>
          <t>Admin</t>
        </is>
      </c>
      <c r="F230" t="inlineStr" s="4">
        <is>
          <t>Closure</t>
        </is>
      </c>
      <c r="G230" t="inlineStr" s="4">
        <is>
          <t>web, Illuminate\Auth\Middleware\Authenticate, Illuminate\Auth\Middleware\EnsureEmailIsVerified, App\Http\Middleware\EnsureAdmin, App\Http\Middleware\LogAdminActivity</t>
        </is>
      </c>
    </row>
    <row r="231" ht="22" customHeight="1">
      <c r="A231" t="inlineStr" s="4">
        <is>
          <t>POST</t>
        </is>
      </c>
      <c r="B231" t="inlineStr" s="4">
        <is>
          <t>admin/system/roles</t>
        </is>
      </c>
      <c r="C231" t="inlineStr" s="4">
        <is>
          <t>admin.system.roles.store</t>
        </is>
      </c>
      <c r="D231" t="inlineStr" s="4">
        <is>
          <t>Admin System</t>
        </is>
      </c>
      <c r="E231" t="inlineStr" s="4">
        <is>
          <t>Admin</t>
        </is>
      </c>
      <c r="F231" t="inlineStr" s="4">
        <is>
          <t>Closure</t>
        </is>
      </c>
      <c r="G231" t="inlineStr" s="4">
        <is>
          <t>web, Illuminate\Auth\Middleware\Authenticate, Illuminate\Auth\Middleware\EnsureEmailIsVerified, App\Http\Middleware\EnsureAdmin, App\Http\Middleware\LogAdminActivity</t>
        </is>
      </c>
    </row>
    <row r="232" ht="22" customHeight="1">
      <c r="A232" t="inlineStr" s="4">
        <is>
          <t>PUT</t>
        </is>
      </c>
      <c r="B232" t="inlineStr" s="4">
        <is>
          <t>admin/system/roles/users/{user}</t>
        </is>
      </c>
      <c r="C232" t="inlineStr" s="4">
        <is>
          <t>admin.system.roles.users.assign</t>
        </is>
      </c>
      <c r="D232" t="inlineStr" s="4">
        <is>
          <t>Admin System</t>
        </is>
      </c>
      <c r="E232" t="inlineStr" s="4">
        <is>
          <t>Admin</t>
        </is>
      </c>
      <c r="F232" t="inlineStr" s="4">
        <is>
          <t>Closure</t>
        </is>
      </c>
      <c r="G232" t="inlineStr" s="4">
        <is>
          <t>web, Illuminate\Auth\Middleware\Authenticate, Illuminate\Auth\Middleware\EnsureEmailIsVerified, App\Http\Middleware\EnsureAdmin, App\Http\Middleware\LogAdminActivity</t>
        </is>
      </c>
    </row>
    <row r="233" ht="22" customHeight="1">
      <c r="A233" t="inlineStr" s="4">
        <is>
          <t>PUT</t>
        </is>
      </c>
      <c r="B233" t="inlineStr" s="4">
        <is>
          <t>admin/system/roles/{role}</t>
        </is>
      </c>
      <c r="C233" t="inlineStr" s="4">
        <is>
          <t>admin.system.roles.update</t>
        </is>
      </c>
      <c r="D233" t="inlineStr" s="4">
        <is>
          <t>Admin System</t>
        </is>
      </c>
      <c r="E233" t="inlineStr" s="4">
        <is>
          <t>Admin</t>
        </is>
      </c>
      <c r="F233" t="inlineStr" s="4">
        <is>
          <t>Closure</t>
        </is>
      </c>
      <c r="G233" t="inlineStr" s="4">
        <is>
          <t>web, Illuminate\Auth\Middleware\Authenticate, Illuminate\Auth\Middleware\EnsureEmailIsVerified, App\Http\Middleware\EnsureAdmin, App\Http\Middleware\LogAdminActivity</t>
        </is>
      </c>
    </row>
    <row r="234" ht="22" customHeight="1">
      <c r="A234" t="inlineStr" s="4">
        <is>
          <t>DELETE</t>
        </is>
      </c>
      <c r="B234" t="inlineStr" s="4">
        <is>
          <t>admin/system/roles/{role}</t>
        </is>
      </c>
      <c r="C234" t="inlineStr" s="4">
        <is>
          <t>admin.system.roles.destroy</t>
        </is>
      </c>
      <c r="D234" t="inlineStr" s="4">
        <is>
          <t>Admin System</t>
        </is>
      </c>
      <c r="E234" t="inlineStr" s="4">
        <is>
          <t>Admin</t>
        </is>
      </c>
      <c r="F234" t="inlineStr" s="4">
        <is>
          <t>Closure</t>
        </is>
      </c>
      <c r="G234" t="inlineStr" s="4">
        <is>
          <t>web, Illuminate\Auth\Middleware\Authenticate, Illuminate\Auth\Middleware\EnsureEmailIsVerified, App\Http\Middleware\EnsureAdmin, App\Http\Middleware\LogAdminActivity</t>
        </is>
      </c>
    </row>
    <row r="235" ht="22" customHeight="1">
      <c r="A235" t="inlineStr" s="4">
        <is>
          <t>GET|HEAD</t>
        </is>
      </c>
      <c r="B235" t="inlineStr" s="4">
        <is>
          <t>admin/system/settings</t>
        </is>
      </c>
      <c r="C235" t="inlineStr" s="4">
        <is>
          <t>admin.system.settings.index</t>
        </is>
      </c>
      <c r="D235" t="inlineStr" s="4">
        <is>
          <t>Admin System</t>
        </is>
      </c>
      <c r="E235" t="inlineStr" s="4">
        <is>
          <t>Admin</t>
        </is>
      </c>
      <c r="F235" t="inlineStr" s="4">
        <is>
          <t>App\Http\Controllers\Admin\SystemSettingController@index</t>
        </is>
      </c>
      <c r="G235" t="inlineStr" s="4">
        <is>
          <t>web, Illuminate\Auth\Middleware\Authenticate, Illuminate\Auth\Middleware\EnsureEmailIsVerified, App\Http\Middleware\EnsureAdmin, App\Http\Middleware\LogAdminActivity</t>
        </is>
      </c>
    </row>
    <row r="236" ht="22" customHeight="1">
      <c r="A236" t="inlineStr" s="4">
        <is>
          <t>POST</t>
        </is>
      </c>
      <c r="B236" t="inlineStr" s="4">
        <is>
          <t>admin/system/settings</t>
        </is>
      </c>
      <c r="C236" t="inlineStr" s="4">
        <is>
          <t>admin.system.settings.update</t>
        </is>
      </c>
      <c r="D236" t="inlineStr" s="4">
        <is>
          <t>Admin System</t>
        </is>
      </c>
      <c r="E236" t="inlineStr" s="4">
        <is>
          <t>Admin</t>
        </is>
      </c>
      <c r="F236" t="inlineStr" s="4">
        <is>
          <t>App\Http\Controllers\Admin\SystemSettingController@update</t>
        </is>
      </c>
      <c r="G236" t="inlineStr" s="4">
        <is>
          <t>web, Illuminate\Auth\Middleware\Authenticate, Illuminate\Auth\Middleware\EnsureEmailIsVerified, App\Http\Middleware\EnsureAdmin, App\Http\Middleware\LogAdminActivity</t>
        </is>
      </c>
    </row>
    <row r="237" ht="22" customHeight="1">
      <c r="A237" t="inlineStr" s="4">
        <is>
          <t>GET|HEAD</t>
        </is>
      </c>
      <c r="B237" t="inlineStr" s="4">
        <is>
          <t>admin/system/special-admins</t>
        </is>
      </c>
      <c r="C237" t="inlineStr" s="4">
        <is>
          <t>admin.system.special-admins.index</t>
        </is>
      </c>
      <c r="D237" t="inlineStr" s="4">
        <is>
          <t>Admin System</t>
        </is>
      </c>
      <c r="E237" t="inlineStr" s="4">
        <is>
          <t>Admin</t>
        </is>
      </c>
      <c r="F237" t="inlineStr" s="4">
        <is>
          <t>Closure</t>
        </is>
      </c>
      <c r="G237" t="inlineStr" s="4">
        <is>
          <t>web, Illuminate\Auth\Middleware\Authenticate, Illuminate\Auth\Middleware\EnsureEmailIsVerified, App\Http\Middleware\EnsureAdmin, App\Http\Middleware\LogAdminActivity</t>
        </is>
      </c>
    </row>
    <row r="238" ht="22" customHeight="1">
      <c r="A238" t="inlineStr" s="4">
        <is>
          <t>POST</t>
        </is>
      </c>
      <c r="B238" t="inlineStr" s="4">
        <is>
          <t>admin/system/special-admins</t>
        </is>
      </c>
      <c r="C238" t="inlineStr" s="4">
        <is>
          <t>admin.system.special-admins.store</t>
        </is>
      </c>
      <c r="D238" t="inlineStr" s="4">
        <is>
          <t>Admin System</t>
        </is>
      </c>
      <c r="E238" t="inlineStr" s="4">
        <is>
          <t>Admin</t>
        </is>
      </c>
      <c r="F238" t="inlineStr" s="4">
        <is>
          <t>Closure</t>
        </is>
      </c>
      <c r="G238" t="inlineStr" s="4">
        <is>
          <t>web, Illuminate\Auth\Middleware\Authenticate, Illuminate\Auth\Middleware\EnsureEmailIsVerified, App\Http\Middleware\EnsureAdmin, App\Http\Middleware\LogAdminActivity</t>
        </is>
      </c>
    </row>
    <row r="239" ht="22" customHeight="1">
      <c r="A239" t="inlineStr" s="4">
        <is>
          <t>PUT</t>
        </is>
      </c>
      <c r="B239" t="inlineStr" s="4">
        <is>
          <t>admin/system/special-admins/{user}</t>
        </is>
      </c>
      <c r="C239" t="inlineStr" s="4">
        <is>
          <t>admin.system.special-admins.update</t>
        </is>
      </c>
      <c r="D239" t="inlineStr" s="4">
        <is>
          <t>Admin System</t>
        </is>
      </c>
      <c r="E239" t="inlineStr" s="4">
        <is>
          <t>Admin</t>
        </is>
      </c>
      <c r="F239" t="inlineStr" s="4">
        <is>
          <t>Closure</t>
        </is>
      </c>
      <c r="G239" t="inlineStr" s="4">
        <is>
          <t>web, Illuminate\Auth\Middleware\Authenticate, Illuminate\Auth\Middleware\EnsureEmailIsVerified, App\Http\Middleware\EnsureAdmin, App\Http\Middleware\LogAdminActivity</t>
        </is>
      </c>
    </row>
    <row r="240" ht="22" customHeight="1">
      <c r="A240" t="inlineStr" s="4">
        <is>
          <t>DELETE</t>
        </is>
      </c>
      <c r="B240" t="inlineStr" s="4">
        <is>
          <t>admin/system/special-admins/{user}</t>
        </is>
      </c>
      <c r="C240" t="inlineStr" s="4">
        <is>
          <t>admin.system.special-admins.destroy</t>
        </is>
      </c>
      <c r="D240" t="inlineStr" s="4">
        <is>
          <t>Admin System</t>
        </is>
      </c>
      <c r="E240" t="inlineStr" s="4">
        <is>
          <t>Admin</t>
        </is>
      </c>
      <c r="F240" t="inlineStr" s="4">
        <is>
          <t>Closure</t>
        </is>
      </c>
      <c r="G240" t="inlineStr" s="4">
        <is>
          <t>web, Illuminate\Auth\Middleware\Authenticate, Illuminate\Auth\Middleware\EnsureEmailIsVerified, App\Http\Middleware\EnsureAdmin, App\Http\Middleware\LogAdminActivity</t>
        </is>
      </c>
    </row>
    <row r="241" ht="22" customHeight="1">
      <c r="A241" t="inlineStr" s="4">
        <is>
          <t>GET|HEAD</t>
        </is>
      </c>
      <c r="B241" t="inlineStr" s="4">
        <is>
          <t>admin/users</t>
        </is>
      </c>
      <c r="C241" t="inlineStr" s="4">
        <is>
          <t>admin.users.index</t>
        </is>
      </c>
      <c r="D241" t="inlineStr" s="4">
        <is>
          <t>Other / Legacy / Shared</t>
        </is>
      </c>
      <c r="E241" t="inlineStr" s="4">
        <is>
          <t>Admin</t>
        </is>
      </c>
      <c r="F241" t="inlineStr" s="4">
        <is>
          <t>App\Http\Controllers\Admin\UserController@index</t>
        </is>
      </c>
      <c r="G241" t="inlineStr" s="4">
        <is>
          <t>web, Illuminate\Auth\Middleware\Authenticate, Illuminate\Auth\Middleware\EnsureEmailIsVerified, App\Http\Middleware\EnsureAdmin, App\Http\Middleware\LogAdminActivity</t>
        </is>
      </c>
    </row>
    <row r="242" ht="22" customHeight="1">
      <c r="A242" t="inlineStr" s="4">
        <is>
          <t>POST</t>
        </is>
      </c>
      <c r="B242" t="inlineStr" s="4">
        <is>
          <t>admin/users</t>
        </is>
      </c>
      <c r="C242" t="inlineStr" s="4">
        <is>
          <t>admin.users.store</t>
        </is>
      </c>
      <c r="D242" t="inlineStr" s="4">
        <is>
          <t>Other / Legacy / Shared</t>
        </is>
      </c>
      <c r="E242" t="inlineStr" s="4">
        <is>
          <t>Admin</t>
        </is>
      </c>
      <c r="F242" t="inlineStr" s="4">
        <is>
          <t>App\Http\Controllers\Admin\UserController@store</t>
        </is>
      </c>
      <c r="G242" t="inlineStr" s="4">
        <is>
          <t>web, Illuminate\Auth\Middleware\Authenticate, Illuminate\Auth\Middleware\EnsureEmailIsVerified, App\Http\Middleware\EnsureAdmin, App\Http\Middleware\LogAdminActivity</t>
        </is>
      </c>
    </row>
    <row r="243" ht="22" customHeight="1">
      <c r="A243" t="inlineStr" s="4">
        <is>
          <t>GET|HEAD</t>
        </is>
      </c>
      <c r="B243" t="inlineStr" s="4">
        <is>
          <t>admin/users/{user}</t>
        </is>
      </c>
      <c r="C243" t="inlineStr" s="4">
        <is>
          <t>admin.users.show</t>
        </is>
      </c>
      <c r="D243" t="inlineStr" s="4">
        <is>
          <t>Other / Legacy / Shared</t>
        </is>
      </c>
      <c r="E243" t="inlineStr" s="4">
        <is>
          <t>Admin</t>
        </is>
      </c>
      <c r="F243" t="inlineStr" s="4">
        <is>
          <t>App\Http\Controllers\Admin\UserController@show</t>
        </is>
      </c>
      <c r="G243" t="inlineStr" s="4">
        <is>
          <t>web, Illuminate\Auth\Middleware\Authenticate, Illuminate\Auth\Middleware\EnsureEmailIsVerified, App\Http\Middleware\EnsureAdmin, App\Http\Middleware\LogAdminActivity</t>
        </is>
      </c>
    </row>
    <row r="244" ht="22" customHeight="1">
      <c r="A244" t="inlineStr" s="4">
        <is>
          <t>PUT</t>
        </is>
      </c>
      <c r="B244" t="inlineStr" s="4">
        <is>
          <t>admin/users/{user}</t>
        </is>
      </c>
      <c r="C244" t="inlineStr" s="4">
        <is>
          <t>admin.users.update</t>
        </is>
      </c>
      <c r="D244" t="inlineStr" s="4">
        <is>
          <t>Other / Legacy / Shared</t>
        </is>
      </c>
      <c r="E244" t="inlineStr" s="4">
        <is>
          <t>Admin</t>
        </is>
      </c>
      <c r="F244" t="inlineStr" s="4">
        <is>
          <t>App\Http\Controllers\Admin\UserController@update</t>
        </is>
      </c>
      <c r="G244" t="inlineStr" s="4">
        <is>
          <t>web, Illuminate\Auth\Middleware\Authenticate, Illuminate\Auth\Middleware\EnsureEmailIsVerified, App\Http\Middleware\EnsureAdmin, App\Http\Middleware\LogAdminActivity</t>
        </is>
      </c>
    </row>
    <row r="245" ht="22" customHeight="1">
      <c r="A245" t="inlineStr" s="4">
        <is>
          <t>DELETE</t>
        </is>
      </c>
      <c r="B245" t="inlineStr" s="4">
        <is>
          <t>admin/users/{user}</t>
        </is>
      </c>
      <c r="C245" t="inlineStr" s="4">
        <is>
          <t>admin.users.destroy</t>
        </is>
      </c>
      <c r="D245" t="inlineStr" s="4">
        <is>
          <t>Other / Legacy / Shared</t>
        </is>
      </c>
      <c r="E245" t="inlineStr" s="4">
        <is>
          <t>Admin</t>
        </is>
      </c>
      <c r="F245" t="inlineStr" s="4">
        <is>
          <t>App\Http\Controllers\Admin\UserController@destroy</t>
        </is>
      </c>
      <c r="G245" t="inlineStr" s="4">
        <is>
          <t>web, Illuminate\Auth\Middleware\Authenticate, Illuminate\Auth\Middleware\EnsureEmailIsVerified, App\Http\Middleware\EnsureAdmin, App\Http\Middleware\LogAdminActivity</t>
        </is>
      </c>
    </row>
    <row r="246" ht="22" customHeight="1">
      <c r="A246" t="inlineStr" s="4">
        <is>
          <t>POST</t>
        </is>
      </c>
      <c r="B246" t="inlineStr" s="4">
        <is>
          <t>admin/users/{user}/suspend</t>
        </is>
      </c>
      <c r="C246" t="inlineStr" s="4">
        <is>
          <t>admin.users.suspend</t>
        </is>
      </c>
      <c r="D246" t="inlineStr" s="4">
        <is>
          <t>Other / Legacy / Shared</t>
        </is>
      </c>
      <c r="E246" t="inlineStr" s="4">
        <is>
          <t>Admin</t>
        </is>
      </c>
      <c r="F246" t="inlineStr" s="4">
        <is>
          <t>App\Http\Controllers\Admin\UserController@suspend</t>
        </is>
      </c>
      <c r="G246" t="inlineStr" s="4">
        <is>
          <t>web, Illuminate\Auth\Middleware\Authenticate, Illuminate\Auth\Middleware\EnsureEmailIsVerified, App\Http\Middleware\EnsureAdmin, App\Http\Middleware\LogAdminActivity</t>
        </is>
      </c>
    </row>
    <row r="247" ht="22" customHeight="1">
      <c r="A247" t="inlineStr" s="4">
        <is>
          <t>GET|HEAD</t>
        </is>
      </c>
      <c r="B247" t="inlineStr" s="4">
        <is>
          <t>admin/wisata/affiliates</t>
        </is>
      </c>
      <c r="C247" t="inlineStr" s="4">
        <is>
          <t>admin.wisata.affiliates.index</t>
        </is>
      </c>
      <c r="D247" t="inlineStr" s="4">
        <is>
          <t>Admin Wisata</t>
        </is>
      </c>
      <c r="E247" t="inlineStr" s="4">
        <is>
          <t>Admin</t>
        </is>
      </c>
      <c r="F247" t="inlineStr" s="4">
        <is>
          <t>App\Http\Controllers\Admin\WisataAffiliate\AffiliateController@index</t>
        </is>
      </c>
      <c r="G247" t="inlineStr" s="4">
        <is>
          <t>web, Illuminate\Auth\Middleware\Authenticate, Illuminate\Auth\Middleware\EnsureEmailIsVerified, App\Http\Middleware\EnsureAdmin, App\Http\Middleware\LogAdminActivity</t>
        </is>
      </c>
    </row>
    <row r="248" ht="22" customHeight="1">
      <c r="A248" t="inlineStr" s="4">
        <is>
          <t>POST</t>
        </is>
      </c>
      <c r="B248" t="inlineStr" s="4">
        <is>
          <t>admin/wisata/affiliates</t>
        </is>
      </c>
      <c r="C248" t="inlineStr" s="4">
        <is>
          <t>admin.wisata.affiliates.store</t>
        </is>
      </c>
      <c r="D248" t="inlineStr" s="4">
        <is>
          <t>Admin Wisata</t>
        </is>
      </c>
      <c r="E248" t="inlineStr" s="4">
        <is>
          <t>Admin</t>
        </is>
      </c>
      <c r="F248" t="inlineStr" s="4">
        <is>
          <t>App\Http\Controllers\Admin\WisataAffiliate\AffiliateController@store</t>
        </is>
      </c>
      <c r="G248" t="inlineStr" s="4">
        <is>
          <t>web, Illuminate\Auth\Middleware\Authenticate, Illuminate\Auth\Middleware\EnsureEmailIsVerified, App\Http\Middleware\EnsureAdmin, App\Http\Middleware\LogAdminActivity</t>
        </is>
      </c>
    </row>
    <row r="249" ht="22" customHeight="1">
      <c r="A249" t="inlineStr" s="4">
        <is>
          <t>GET|HEAD</t>
        </is>
      </c>
      <c r="B249" t="inlineStr" s="4">
        <is>
          <t>admin/wisata/affiliates/campaigns</t>
        </is>
      </c>
      <c r="C249" t="inlineStr" s="4">
        <is>
          <t>admin.wisata.affiliates.campaigns.index</t>
        </is>
      </c>
      <c r="D249" t="inlineStr" s="4">
        <is>
          <t>Admin Wisata</t>
        </is>
      </c>
      <c r="E249" t="inlineStr" s="4">
        <is>
          <t>Admin</t>
        </is>
      </c>
      <c r="F249" t="inlineStr" s="4">
        <is>
          <t>App\Http\Controllers\Admin\WisataAffiliate\CampaignController@index</t>
        </is>
      </c>
      <c r="G249" t="inlineStr" s="4">
        <is>
          <t>web, Illuminate\Auth\Middleware\Authenticate, Illuminate\Auth\Middleware\EnsureEmailIsVerified, App\Http\Middleware\EnsureAdmin, App\Http\Middleware\LogAdminActivity</t>
        </is>
      </c>
    </row>
    <row r="250" ht="22" customHeight="1">
      <c r="A250" t="inlineStr" s="4">
        <is>
          <t>POST</t>
        </is>
      </c>
      <c r="B250" t="inlineStr" s="4">
        <is>
          <t>admin/wisata/affiliates/campaigns</t>
        </is>
      </c>
      <c r="C250" t="inlineStr" s="4">
        <is>
          <t>admin.wisata.affiliates.campaigns.store</t>
        </is>
      </c>
      <c r="D250" t="inlineStr" s="4">
        <is>
          <t>Admin Wisata</t>
        </is>
      </c>
      <c r="E250" t="inlineStr" s="4">
        <is>
          <t>Admin</t>
        </is>
      </c>
      <c r="F250" t="inlineStr" s="4">
        <is>
          <t>App\Http\Controllers\Admin\WisataAffiliate\CampaignController@store</t>
        </is>
      </c>
      <c r="G250" t="inlineStr" s="4">
        <is>
          <t>web, Illuminate\Auth\Middleware\Authenticate, Illuminate\Auth\Middleware\EnsureEmailIsVerified, App\Http\Middleware\EnsureAdmin, App\Http\Middleware\LogAdminActivity</t>
        </is>
      </c>
    </row>
    <row r="251" ht="22" customHeight="1">
      <c r="A251" t="inlineStr" s="4">
        <is>
          <t>POST</t>
        </is>
      </c>
      <c r="B251" t="inlineStr" s="4">
        <is>
          <t>admin/wisata/affiliates/campaigns/{campaign}/status</t>
        </is>
      </c>
      <c r="C251" t="inlineStr" s="4">
        <is>
          <t>admin.wisata.affiliates.campaigns.status</t>
        </is>
      </c>
      <c r="D251" t="inlineStr" s="4">
        <is>
          <t>Admin Wisata</t>
        </is>
      </c>
      <c r="E251" t="inlineStr" s="4">
        <is>
          <t>Admin</t>
        </is>
      </c>
      <c r="F251" t="inlineStr" s="4">
        <is>
          <t>App\Http\Controllers\Admin\WisataAffiliate\CampaignController@updateStatus</t>
        </is>
      </c>
      <c r="G251" t="inlineStr" s="4">
        <is>
          <t>web, Illuminate\Auth\Middleware\Authenticate, Illuminate\Auth\Middleware\EnsureEmailIsVerified, App\Http\Middleware\EnsureAdmin, App\Http\Middleware\LogAdminActivity</t>
        </is>
      </c>
    </row>
    <row r="252" ht="22" customHeight="1">
      <c r="A252" t="inlineStr" s="4">
        <is>
          <t>GET|HEAD</t>
        </is>
      </c>
      <c r="B252" t="inlineStr" s="4">
        <is>
          <t>admin/wisata/affiliates/commission-items</t>
        </is>
      </c>
      <c r="C252" t="inlineStr" s="4">
        <is>
          <t>admin.wisata.affiliates.commission-items.index</t>
        </is>
      </c>
      <c r="D252" t="inlineStr" s="4">
        <is>
          <t>Admin Wisata</t>
        </is>
      </c>
      <c r="E252" t="inlineStr" s="4">
        <is>
          <t>Admin</t>
        </is>
      </c>
      <c r="F252" t="inlineStr" s="4">
        <is>
          <t>App\Http\Controllers\Admin\WisataAffiliate\CommissionLogController@index</t>
        </is>
      </c>
      <c r="G252" t="inlineStr" s="4">
        <is>
          <t>web, Illuminate\Auth\Middleware\Authenticate, Illuminate\Auth\Middleware\EnsureEmailIsVerified, App\Http\Middleware\EnsureAdmin, App\Http\Middleware\LogAdminActivity</t>
        </is>
      </c>
    </row>
    <row r="253" ht="22" customHeight="1">
      <c r="A253" t="inlineStr" s="4">
        <is>
          <t>GET|HEAD</t>
        </is>
      </c>
      <c r="B253" t="inlineStr" s="4">
        <is>
          <t>admin/wisata/affiliates/commissions</t>
        </is>
      </c>
      <c r="C253" t="inlineStr" s="4">
        <is>
          <t>admin.wisata.affiliates.commissions.index</t>
        </is>
      </c>
      <c r="D253" t="inlineStr" s="4">
        <is>
          <t>Admin Wisata</t>
        </is>
      </c>
      <c r="E253" t="inlineStr" s="4">
        <is>
          <t>Admin</t>
        </is>
      </c>
      <c r="F253" t="inlineStr" s="4">
        <is>
          <t>App\Http\Controllers\Admin\WisataAffiliate\CommissionController@index</t>
        </is>
      </c>
      <c r="G253" t="inlineStr" s="4">
        <is>
          <t>web, Illuminate\Auth\Middleware\Authenticate, Illuminate\Auth\Middleware\EnsureEmailIsVerified, App\Http\Middleware\EnsureAdmin, App\Http\Middleware\LogAdminActivity</t>
        </is>
      </c>
    </row>
    <row r="254" ht="22" customHeight="1">
      <c r="A254" t="inlineStr" s="4">
        <is>
          <t>POST</t>
        </is>
      </c>
      <c r="B254" t="inlineStr" s="4">
        <is>
          <t>admin/wisata/affiliates/commissions</t>
        </is>
      </c>
      <c r="C254" t="inlineStr" s="4">
        <is>
          <t>admin.wisata.affiliates.commissions.store</t>
        </is>
      </c>
      <c r="D254" t="inlineStr" s="4">
        <is>
          <t>Admin Wisata</t>
        </is>
      </c>
      <c r="E254" t="inlineStr" s="4">
        <is>
          <t>Admin</t>
        </is>
      </c>
      <c r="F254" t="inlineStr" s="4">
        <is>
          <t>App\Http\Controllers\Admin\WisataAffiliate\CommissionController@store</t>
        </is>
      </c>
      <c r="G254" t="inlineStr" s="4">
        <is>
          <t>web, Illuminate\Auth\Middleware\Authenticate, Illuminate\Auth\Middleware\EnsureEmailIsVerified, App\Http\Middleware\EnsureAdmin, App\Http\Middleware\LogAdminActivity</t>
        </is>
      </c>
    </row>
    <row r="255" ht="22" customHeight="1">
      <c r="A255" t="inlineStr" s="4">
        <is>
          <t>GET|HEAD</t>
        </is>
      </c>
      <c r="B255" t="inlineStr" s="4">
        <is>
          <t>admin/wisata/affiliates/exceptions</t>
        </is>
      </c>
      <c r="C255" t="inlineStr" s="4">
        <is>
          <t>admin.wisata.affiliates.exceptions.index</t>
        </is>
      </c>
      <c r="D255" t="inlineStr" s="4">
        <is>
          <t>Admin Wisata</t>
        </is>
      </c>
      <c r="E255" t="inlineStr" s="4">
        <is>
          <t>Admin</t>
        </is>
      </c>
      <c r="F255" t="inlineStr" s="4">
        <is>
          <t>App\Http\Controllers\Admin\WisataAffiliate\ExceptionController@index</t>
        </is>
      </c>
      <c r="G255" t="inlineStr" s="4">
        <is>
          <t>web, Illuminate\Auth\Middleware\Authenticate, Illuminate\Auth\Middleware\EnsureEmailIsVerified, App\Http\Middleware\EnsureAdmin, App\Http\Middleware\LogAdminActivity</t>
        </is>
      </c>
    </row>
    <row r="256" ht="22" customHeight="1">
      <c r="A256" t="inlineStr" s="4">
        <is>
          <t>POST</t>
        </is>
      </c>
      <c r="B256" t="inlineStr" s="4">
        <is>
          <t>admin/wisata/affiliates/exceptions</t>
        </is>
      </c>
      <c r="C256" t="inlineStr" s="4">
        <is>
          <t>admin.wisata.affiliates.exceptions.store</t>
        </is>
      </c>
      <c r="D256" t="inlineStr" s="4">
        <is>
          <t>Admin Wisata</t>
        </is>
      </c>
      <c r="E256" t="inlineStr" s="4">
        <is>
          <t>Admin</t>
        </is>
      </c>
      <c r="F256" t="inlineStr" s="4">
        <is>
          <t>App\Http\Controllers\Admin\WisataAffiliate\ExceptionController@store</t>
        </is>
      </c>
      <c r="G256" t="inlineStr" s="4">
        <is>
          <t>web, Illuminate\Auth\Middleware\Authenticate, Illuminate\Auth\Middleware\EnsureEmailIsVerified, App\Http\Middleware\EnsureAdmin, App\Http\Middleware\LogAdminActivity</t>
        </is>
      </c>
    </row>
    <row r="257" ht="22" customHeight="1">
      <c r="A257" t="inlineStr" s="4">
        <is>
          <t>GET|HEAD</t>
        </is>
      </c>
      <c r="B257" t="inlineStr" s="4">
        <is>
          <t>admin/wisata/affiliates/links</t>
        </is>
      </c>
      <c r="C257" t="inlineStr" s="4">
        <is>
          <t>admin.wisata.affiliates.links.index</t>
        </is>
      </c>
      <c r="D257" t="inlineStr" s="4">
        <is>
          <t>Admin Wisata</t>
        </is>
      </c>
      <c r="E257" t="inlineStr" s="4">
        <is>
          <t>Admin</t>
        </is>
      </c>
      <c r="F257" t="inlineStr" s="4">
        <is>
          <t>App\Http\Controllers\Admin\WisataAffiliate\LinkController@index</t>
        </is>
      </c>
      <c r="G257" t="inlineStr" s="4">
        <is>
          <t>web, Illuminate\Auth\Middleware\Authenticate, Illuminate\Auth\Middleware\EnsureEmailIsVerified, App\Http\Middleware\EnsureAdmin, App\Http\Middleware\LogAdminActivity</t>
        </is>
      </c>
    </row>
    <row r="258" ht="22" customHeight="1">
      <c r="A258" t="inlineStr" s="4">
        <is>
          <t>POST</t>
        </is>
      </c>
      <c r="B258" t="inlineStr" s="4">
        <is>
          <t>admin/wisata/affiliates/links</t>
        </is>
      </c>
      <c r="C258" t="inlineStr" s="4">
        <is>
          <t>admin.wisata.affiliates.links.store</t>
        </is>
      </c>
      <c r="D258" t="inlineStr" s="4">
        <is>
          <t>Admin Wisata</t>
        </is>
      </c>
      <c r="E258" t="inlineStr" s="4">
        <is>
          <t>Admin</t>
        </is>
      </c>
      <c r="F258" t="inlineStr" s="4">
        <is>
          <t>App\Http\Controllers\Admin\WisataAffiliate\LinkController@store</t>
        </is>
      </c>
      <c r="G258" t="inlineStr" s="4">
        <is>
          <t>web, Illuminate\Auth\Middleware\Authenticate, Illuminate\Auth\Middleware\EnsureEmailIsVerified, App\Http\Middleware\EnsureAdmin, App\Http\Middleware\LogAdminActivity</t>
        </is>
      </c>
    </row>
    <row r="259" ht="22" customHeight="1">
      <c r="A259" t="inlineStr" s="4">
        <is>
          <t>POST</t>
        </is>
      </c>
      <c r="B259" t="inlineStr" s="4">
        <is>
          <t>admin/wisata/affiliates/links/{link}/regenerate</t>
        </is>
      </c>
      <c r="C259" t="inlineStr" s="4">
        <is>
          <t>admin.wisata.affiliates.links.regenerate</t>
        </is>
      </c>
      <c r="D259" t="inlineStr" s="4">
        <is>
          <t>Admin Wisata</t>
        </is>
      </c>
      <c r="E259" t="inlineStr" s="4">
        <is>
          <t>Admin</t>
        </is>
      </c>
      <c r="F259" t="inlineStr" s="4">
        <is>
          <t>App\Http\Controllers\Admin\WisataAffiliate\LinkController@regenerateToken</t>
        </is>
      </c>
      <c r="G259" t="inlineStr" s="4">
        <is>
          <t>web, Illuminate\Auth\Middleware\Authenticate, Illuminate\Auth\Middleware\EnsureEmailIsVerified, App\Http\Middleware\EnsureAdmin, App\Http\Middleware\LogAdminActivity</t>
        </is>
      </c>
    </row>
    <row r="260" ht="22" customHeight="1">
      <c r="A260" t="inlineStr" s="4">
        <is>
          <t>POST</t>
        </is>
      </c>
      <c r="B260" t="inlineStr" s="4">
        <is>
          <t>admin/wisata/affiliates/links/{link}/status</t>
        </is>
      </c>
      <c r="C260" t="inlineStr" s="4">
        <is>
          <t>admin.wisata.affiliates.links.status</t>
        </is>
      </c>
      <c r="D260" t="inlineStr" s="4">
        <is>
          <t>Admin Wisata</t>
        </is>
      </c>
      <c r="E260" t="inlineStr" s="4">
        <is>
          <t>Admin</t>
        </is>
      </c>
      <c r="F260" t="inlineStr" s="4">
        <is>
          <t>App\Http\Controllers\Admin\WisataAffiliate\LinkController@updateStatus</t>
        </is>
      </c>
      <c r="G260" t="inlineStr" s="4">
        <is>
          <t>web, Illuminate\Auth\Middleware\Authenticate, Illuminate\Auth\Middleware\EnsureEmailIsVerified, App\Http\Middleware\EnsureAdmin, App\Http\Middleware\LogAdminActivity</t>
        </is>
      </c>
    </row>
    <row r="261" ht="22" customHeight="1">
      <c r="A261" t="inlineStr" s="4">
        <is>
          <t>GET|HEAD</t>
        </is>
      </c>
      <c r="B261" t="inlineStr" s="4">
        <is>
          <t>admin/wisata/affiliates/payouts</t>
        </is>
      </c>
      <c r="C261" t="inlineStr" s="4">
        <is>
          <t>admin.wisata.affiliates.payouts.index</t>
        </is>
      </c>
      <c r="D261" t="inlineStr" s="4">
        <is>
          <t>Admin Wisata</t>
        </is>
      </c>
      <c r="E261" t="inlineStr" s="4">
        <is>
          <t>Admin</t>
        </is>
      </c>
      <c r="F261" t="inlineStr" s="4">
        <is>
          <t>App\Http\Controllers\Admin\WisataAffiliate\PayoutController@index</t>
        </is>
      </c>
      <c r="G261" t="inlineStr" s="4">
        <is>
          <t>web, Illuminate\Auth\Middleware\Authenticate, Illuminate\Auth\Middleware\EnsureEmailIsVerified, App\Http\Middleware\EnsureAdmin, App\Http\Middleware\LogAdminActivity</t>
        </is>
      </c>
    </row>
    <row r="262" ht="22" customHeight="1">
      <c r="A262" t="inlineStr" s="4">
        <is>
          <t>POST</t>
        </is>
      </c>
      <c r="B262" t="inlineStr" s="4">
        <is>
          <t>admin/wisata/affiliates/payouts</t>
        </is>
      </c>
      <c r="C262" t="inlineStr" s="4">
        <is>
          <t>admin.wisata.affiliates.payouts.store</t>
        </is>
      </c>
      <c r="D262" t="inlineStr" s="4">
        <is>
          <t>Admin Wisata</t>
        </is>
      </c>
      <c r="E262" t="inlineStr" s="4">
        <is>
          <t>Admin</t>
        </is>
      </c>
      <c r="F262" t="inlineStr" s="4">
        <is>
          <t>App\Http\Controllers\Admin\WisataAffiliate\PayoutController@store</t>
        </is>
      </c>
      <c r="G262" t="inlineStr" s="4">
        <is>
          <t>web, Illuminate\Auth\Middleware\Authenticate, Illuminate\Auth\Middleware\EnsureEmailIsVerified, App\Http\Middleware\EnsureAdmin, App\Http\Middleware\LogAdminActivity</t>
        </is>
      </c>
    </row>
    <row r="263" ht="22" customHeight="1">
      <c r="A263" t="inlineStr" s="4">
        <is>
          <t>POST</t>
        </is>
      </c>
      <c r="B263" t="inlineStr" s="4">
        <is>
          <t>admin/wisata/affiliates/payouts/{payout}/status</t>
        </is>
      </c>
      <c r="C263" t="inlineStr" s="4">
        <is>
          <t>admin.wisata.affiliates.payouts.status</t>
        </is>
      </c>
      <c r="D263" t="inlineStr" s="4">
        <is>
          <t>Admin Wisata</t>
        </is>
      </c>
      <c r="E263" t="inlineStr" s="4">
        <is>
          <t>Admin</t>
        </is>
      </c>
      <c r="F263" t="inlineStr" s="4">
        <is>
          <t>App\Http\Controllers\Admin\WisataAffiliate\PayoutController@updateStatus</t>
        </is>
      </c>
      <c r="G263" t="inlineStr" s="4">
        <is>
          <t>web, Illuminate\Auth\Middleware\Authenticate, Illuminate\Auth\Middleware\EnsureEmailIsVerified, App\Http\Middleware\EnsureAdmin, App\Http\Middleware\LogAdminActivity</t>
        </is>
      </c>
    </row>
    <row r="264" ht="22" customHeight="1">
      <c r="A264" t="inlineStr" s="4">
        <is>
          <t>GET|HEAD</t>
        </is>
      </c>
      <c r="B264" t="inlineStr" s="4">
        <is>
          <t>admin/wisata/affiliates/performance</t>
        </is>
      </c>
      <c r="C264" t="inlineStr" s="4">
        <is>
          <t>admin.wisata.affiliates.performance.index</t>
        </is>
      </c>
      <c r="D264" t="inlineStr" s="4">
        <is>
          <t>Admin Wisata</t>
        </is>
      </c>
      <c r="E264" t="inlineStr" s="4">
        <is>
          <t>Admin</t>
        </is>
      </c>
      <c r="F264" t="inlineStr" s="4">
        <is>
          <t>App\Http\Controllers\Admin\WisataAffiliate\PerformanceController@index</t>
        </is>
      </c>
      <c r="G264" t="inlineStr" s="4">
        <is>
          <t>web, Illuminate\Auth\Middleware\Authenticate, Illuminate\Auth\Middleware\EnsureEmailIsVerified, App\Http\Middleware\EnsureAdmin, App\Http\Middleware\LogAdminActivity</t>
        </is>
      </c>
    </row>
    <row r="265" ht="22" customHeight="1">
      <c r="A265" t="inlineStr" s="4">
        <is>
          <t>GET|HEAD</t>
        </is>
      </c>
      <c r="B265" t="inlineStr" s="4">
        <is>
          <t>admin/wisata/affiliates/system/audit</t>
        </is>
      </c>
      <c r="C265" t="inlineStr" s="4">
        <is>
          <t>admin.wisata.affiliates.audit.index</t>
        </is>
      </c>
      <c r="D265" t="inlineStr" s="4">
        <is>
          <t>Admin Wisata</t>
        </is>
      </c>
      <c r="E265" t="inlineStr" s="4">
        <is>
          <t>Admin</t>
        </is>
      </c>
      <c r="F265" t="inlineStr" s="4">
        <is>
          <t>App\Http\Controllers\Admin\WisataAffiliate\AuditController@index</t>
        </is>
      </c>
      <c r="G265" t="inlineStr" s="4">
        <is>
          <t>web, Illuminate\Auth\Middleware\Authenticate, Illuminate\Auth\Middleware\EnsureEmailIsVerified, App\Http\Middleware\EnsureAdmin, App\Http\Middleware\LogAdminActivity</t>
        </is>
      </c>
    </row>
    <row r="266" ht="22" customHeight="1">
      <c r="A266" t="inlineStr" s="4">
        <is>
          <t>GET|HEAD</t>
        </is>
      </c>
      <c r="B266" t="inlineStr" s="4">
        <is>
          <t>admin/wisata/affiliates/system/settings</t>
        </is>
      </c>
      <c r="C266" t="inlineStr" s="4">
        <is>
          <t>admin.wisata.affiliates.settings.index</t>
        </is>
      </c>
      <c r="D266" t="inlineStr" s="4">
        <is>
          <t>Admin Wisata</t>
        </is>
      </c>
      <c r="E266" t="inlineStr" s="4">
        <is>
          <t>Admin</t>
        </is>
      </c>
      <c r="F266" t="inlineStr" s="4">
        <is>
          <t>App\Http\Controllers\Admin\WisataAffiliate\SettingController@index</t>
        </is>
      </c>
      <c r="G266" t="inlineStr" s="4">
        <is>
          <t>web, Illuminate\Auth\Middleware\Authenticate, Illuminate\Auth\Middleware\EnsureEmailIsVerified, App\Http\Middleware\EnsureAdmin, App\Http\Middleware\LogAdminActivity</t>
        </is>
      </c>
    </row>
    <row r="267" ht="22" customHeight="1">
      <c r="A267" t="inlineStr" s="4">
        <is>
          <t>POST</t>
        </is>
      </c>
      <c r="B267" t="inlineStr" s="4">
        <is>
          <t>admin/wisata/affiliates/system/settings</t>
        </is>
      </c>
      <c r="C267" t="inlineStr" s="4">
        <is>
          <t>admin.wisata.affiliates.settings.update</t>
        </is>
      </c>
      <c r="D267" t="inlineStr" s="4">
        <is>
          <t>Admin Wisata</t>
        </is>
      </c>
      <c r="E267" t="inlineStr" s="4">
        <is>
          <t>Admin</t>
        </is>
      </c>
      <c r="F267" t="inlineStr" s="4">
        <is>
          <t>App\Http\Controllers\Admin\WisataAffiliate\SettingController@update</t>
        </is>
      </c>
      <c r="G267" t="inlineStr" s="4">
        <is>
          <t>web, Illuminate\Auth\Middleware\Authenticate, Illuminate\Auth\Middleware\EnsureEmailIsVerified, App\Http\Middleware\EnsureAdmin, App\Http\Middleware\LogAdminActivity</t>
        </is>
      </c>
    </row>
    <row r="268" ht="22" customHeight="1">
      <c r="A268" t="inlineStr" s="4">
        <is>
          <t>GET|HEAD</t>
        </is>
      </c>
      <c r="B268" t="inlineStr" s="4">
        <is>
          <t>admin/wisata/affiliates/{affiliate}</t>
        </is>
      </c>
      <c r="C268" t="inlineStr" s="4">
        <is>
          <t>admin.wisata.affiliates.show</t>
        </is>
      </c>
      <c r="D268" t="inlineStr" s="4">
        <is>
          <t>Admin Wisata</t>
        </is>
      </c>
      <c r="E268" t="inlineStr" s="4">
        <is>
          <t>Admin</t>
        </is>
      </c>
      <c r="F268" t="inlineStr" s="4">
        <is>
          <t>App\Http\Controllers\Admin\WisataAffiliate\AffiliateController@show</t>
        </is>
      </c>
      <c r="G268" t="inlineStr" s="4">
        <is>
          <t>web, Illuminate\Auth\Middleware\Authenticate, Illuminate\Auth\Middleware\EnsureEmailIsVerified, App\Http\Middleware\EnsureAdmin, App\Http\Middleware\LogAdminActivity</t>
        </is>
      </c>
    </row>
    <row r="269" ht="22" customHeight="1">
      <c r="A269" t="inlineStr" s="4">
        <is>
          <t>PUT</t>
        </is>
      </c>
      <c r="B269" t="inlineStr" s="4">
        <is>
          <t>admin/wisata/affiliates/{affiliate}</t>
        </is>
      </c>
      <c r="C269" t="inlineStr" s="4">
        <is>
          <t>admin.wisata.affiliates.update</t>
        </is>
      </c>
      <c r="D269" t="inlineStr" s="4">
        <is>
          <t>Admin Wisata</t>
        </is>
      </c>
      <c r="E269" t="inlineStr" s="4">
        <is>
          <t>Admin</t>
        </is>
      </c>
      <c r="F269" t="inlineStr" s="4">
        <is>
          <t>App\Http\Controllers\Admin\WisataAffiliate\AffiliateController@update</t>
        </is>
      </c>
      <c r="G269" t="inlineStr" s="4">
        <is>
          <t>web, Illuminate\Auth\Middleware\Authenticate, Illuminate\Auth\Middleware\EnsureEmailIsVerified, App\Http\Middleware\EnsureAdmin, App\Http\Middleware\LogAdminActivity</t>
        </is>
      </c>
    </row>
    <row r="270" ht="22" customHeight="1">
      <c r="A270" t="inlineStr" s="4">
        <is>
          <t>POST</t>
        </is>
      </c>
      <c r="B270" t="inlineStr" s="4">
        <is>
          <t>admin/wisata/affiliates/{affiliate}/status</t>
        </is>
      </c>
      <c r="C270" t="inlineStr" s="4">
        <is>
          <t>admin.wisata.affiliates.status</t>
        </is>
      </c>
      <c r="D270" t="inlineStr" s="4">
        <is>
          <t>Admin Wisata</t>
        </is>
      </c>
      <c r="E270" t="inlineStr" s="4">
        <is>
          <t>Admin</t>
        </is>
      </c>
      <c r="F270" t="inlineStr" s="4">
        <is>
          <t>App\Http\Controllers\Admin\WisataAffiliate\AffiliateController@updateStatus</t>
        </is>
      </c>
      <c r="G270" t="inlineStr" s="4">
        <is>
          <t>web, Illuminate\Auth\Middleware\Authenticate, Illuminate\Auth\Middleware\EnsureEmailIsVerified, App\Http\Middleware\EnsureAdmin, App\Http\Middleware\LogAdminActivity</t>
        </is>
      </c>
    </row>
    <row r="271" ht="22" customHeight="1">
      <c r="A271" t="inlineStr" s="4">
        <is>
          <t>GET|HEAD</t>
        </is>
      </c>
      <c r="B271" t="inlineStr" s="4">
        <is>
          <t>admin/wisata/bookings</t>
        </is>
      </c>
      <c r="C271" t="inlineStr" s="4">
        <is>
          <t>admin.wisata.bookings.index</t>
        </is>
      </c>
      <c r="D271" t="inlineStr" s="4">
        <is>
          <t>Admin Wisata</t>
        </is>
      </c>
      <c r="E271" t="inlineStr" s="4">
        <is>
          <t>Admin</t>
        </is>
      </c>
      <c r="F271" t="inlineStr" s="4">
        <is>
          <t>App\Http\Controllers\Admin\WisataBookingController@index</t>
        </is>
      </c>
      <c r="G271" t="inlineStr" s="4">
        <is>
          <t>web, Illuminate\Auth\Middleware\Authenticate, Illuminate\Auth\Middleware\EnsureEmailIsVerified, App\Http\Middleware\EnsureAdmin, App\Http\Middleware\LogAdminActivity</t>
        </is>
      </c>
    </row>
    <row r="272" ht="22" customHeight="1">
      <c r="A272" t="inlineStr" s="4">
        <is>
          <t>GET|HEAD</t>
        </is>
      </c>
      <c r="B272" t="inlineStr" s="4">
        <is>
          <t>admin/wisata/bookings/{booking}</t>
        </is>
      </c>
      <c r="C272" t="inlineStr" s="4">
        <is>
          <t>admin.wisata.bookings.show</t>
        </is>
      </c>
      <c r="D272" t="inlineStr" s="4">
        <is>
          <t>Admin Wisata</t>
        </is>
      </c>
      <c r="E272" t="inlineStr" s="4">
        <is>
          <t>Admin</t>
        </is>
      </c>
      <c r="F272" t="inlineStr" s="4">
        <is>
          <t>App\Http\Controllers\Admin\WisataBookingController@show</t>
        </is>
      </c>
      <c r="G272" t="inlineStr" s="4">
        <is>
          <t>web, Illuminate\Auth\Middleware\Authenticate, Illuminate\Auth\Middleware\EnsureEmailIsVerified, App\Http\Middleware\EnsureAdmin, App\Http\Middleware\LogAdminActivity</t>
        </is>
      </c>
    </row>
    <row r="273" ht="22" customHeight="1">
      <c r="A273" t="inlineStr" s="4">
        <is>
          <t>POST</t>
        </is>
      </c>
      <c r="B273" t="inlineStr" s="4">
        <is>
          <t>admin/wisata/bookings/{booking}/cancel</t>
        </is>
      </c>
      <c r="C273" t="inlineStr" s="4">
        <is>
          <t>admin.wisata.bookings.cancel</t>
        </is>
      </c>
      <c r="D273" t="inlineStr" s="4">
        <is>
          <t>Admin Wisata</t>
        </is>
      </c>
      <c r="E273" t="inlineStr" s="4">
        <is>
          <t>Admin</t>
        </is>
      </c>
      <c r="F273" t="inlineStr" s="4">
        <is>
          <t>App\Http\Controllers\Admin\WisataExceptionController@cancel</t>
        </is>
      </c>
      <c r="G273" t="inlineStr" s="4">
        <is>
          <t>web, Illuminate\Auth\Middleware\Authenticate, Illuminate\Auth\Middleware\EnsureEmailIsVerified, App\Http\Middleware\EnsureAdmin, App\Http\Middleware\LogAdminActivity</t>
        </is>
      </c>
    </row>
    <row r="274" ht="22" customHeight="1">
      <c r="A274" t="inlineStr" s="4">
        <is>
          <t>POST</t>
        </is>
      </c>
      <c r="B274" t="inlineStr" s="4">
        <is>
          <t>admin/wisata/bookings/{booking}/refund</t>
        </is>
      </c>
      <c r="C274" t="inlineStr" s="4">
        <is>
          <t>admin.wisata.bookings.refund</t>
        </is>
      </c>
      <c r="D274" t="inlineStr" s="4">
        <is>
          <t>Admin Wisata</t>
        </is>
      </c>
      <c r="E274" t="inlineStr" s="4">
        <is>
          <t>Admin</t>
        </is>
      </c>
      <c r="F274" t="inlineStr" s="4">
        <is>
          <t>App\Http\Controllers\Admin\WisataExceptionController@refund</t>
        </is>
      </c>
      <c r="G274" t="inlineStr" s="4">
        <is>
          <t>web, Illuminate\Auth\Middleware\Authenticate, Illuminate\Auth\Middleware\EnsureEmailIsVerified, App\Http\Middleware\EnsureAdmin, App\Http\Middleware\LogAdminActivity</t>
        </is>
      </c>
    </row>
    <row r="275" ht="22" customHeight="1">
      <c r="A275" t="inlineStr" s="4">
        <is>
          <t>GET|HEAD</t>
        </is>
      </c>
      <c r="B275" t="inlineStr" s="4">
        <is>
          <t>admin/wisata/content</t>
        </is>
      </c>
      <c r="C275" t="inlineStr" s="4">
        <is>
          <t>admin.wisata.content.index</t>
        </is>
      </c>
      <c r="D275" t="inlineStr" s="4">
        <is>
          <t>Admin Wisata</t>
        </is>
      </c>
      <c r="E275" t="inlineStr" s="4">
        <is>
          <t>Admin</t>
        </is>
      </c>
      <c r="F275" t="inlineStr" s="4">
        <is>
          <t>App\Http\Controllers\Admin\WisataContentController@index</t>
        </is>
      </c>
      <c r="G275" t="inlineStr" s="4">
        <is>
          <t>web, Illuminate\Auth\Middleware\Authenticate, Illuminate\Auth\Middleware\EnsureEmailIsVerified, App\Http\Middleware\EnsureAdmin, App\Http\Middleware\LogAdminActivity</t>
        </is>
      </c>
    </row>
    <row r="276" ht="22" customHeight="1">
      <c r="A276" t="inlineStr" s="4">
        <is>
          <t>POST</t>
        </is>
      </c>
      <c r="B276" t="inlineStr" s="4">
        <is>
          <t>admin/wisata/content/{destination}</t>
        </is>
      </c>
      <c r="C276" t="inlineStr" s="4">
        <is>
          <t>admin.wisata.content.update</t>
        </is>
      </c>
      <c r="D276" t="inlineStr" s="4">
        <is>
          <t>Admin Wisata</t>
        </is>
      </c>
      <c r="E276" t="inlineStr" s="4">
        <is>
          <t>Admin</t>
        </is>
      </c>
      <c r="F276" t="inlineStr" s="4">
        <is>
          <t>App\Http\Controllers\Admin\WisataContentController@hideContent</t>
        </is>
      </c>
      <c r="G276" t="inlineStr" s="4">
        <is>
          <t>web, Illuminate\Auth\Middleware\Authenticate, Illuminate\Auth\Middleware\EnsureEmailIsVerified, App\Http\Middleware\EnsureAdmin, App\Http\Middleware\LogAdminActivity</t>
        </is>
      </c>
    </row>
    <row r="277" ht="22" customHeight="1">
      <c r="A277" t="inlineStr" s="4">
        <is>
          <t>GET|HEAD</t>
        </is>
      </c>
      <c r="B277" t="inlineStr" s="4">
        <is>
          <t>admin/wisata/destinations</t>
        </is>
      </c>
      <c r="C277" t="inlineStr" s="4">
        <is>
          <t>admin.wisata.destinations.index</t>
        </is>
      </c>
      <c r="D277" t="inlineStr" s="4">
        <is>
          <t>Admin Wisata</t>
        </is>
      </c>
      <c r="E277" t="inlineStr" s="4">
        <is>
          <t>Admin</t>
        </is>
      </c>
      <c r="F277" t="inlineStr" s="4">
        <is>
          <t>App\Http\Controllers\Admin\WisataDestinationController@index</t>
        </is>
      </c>
      <c r="G277" t="inlineStr" s="4">
        <is>
          <t>web, Illuminate\Auth\Middleware\Authenticate, Illuminate\Auth\Middleware\EnsureEmailIsVerified, App\Http\Middleware\EnsureAdmin, App\Http\Middleware\LogAdminActivity</t>
        </is>
      </c>
    </row>
    <row r="278" ht="22" customHeight="1">
      <c r="A278" t="inlineStr" s="4">
        <is>
          <t>POST</t>
        </is>
      </c>
      <c r="B278" t="inlineStr" s="4">
        <is>
          <t>admin/wisata/destinations</t>
        </is>
      </c>
      <c r="C278" t="inlineStr" s="4">
        <is>
          <t>admin.wisata.destinations.store</t>
        </is>
      </c>
      <c r="D278" t="inlineStr" s="4">
        <is>
          <t>Admin Wisata</t>
        </is>
      </c>
      <c r="E278" t="inlineStr" s="4">
        <is>
          <t>Admin</t>
        </is>
      </c>
      <c r="F278" t="inlineStr" s="4">
        <is>
          <t>App\Http\Controllers\Admin\WisataDestinationController@store</t>
        </is>
      </c>
      <c r="G278" t="inlineStr" s="4">
        <is>
          <t>web, Illuminate\Auth\Middleware\Authenticate, Illuminate\Auth\Middleware\EnsureEmailIsVerified, App\Http\Middleware\EnsureAdmin, App\Http\Middleware\LogAdminActivity</t>
        </is>
      </c>
    </row>
    <row r="279" ht="22" customHeight="1">
      <c r="A279" t="inlineStr" s="4">
        <is>
          <t>GET|HEAD</t>
        </is>
      </c>
      <c r="B279" t="inlineStr" s="4">
        <is>
          <t>admin/wisata/destinations/create</t>
        </is>
      </c>
      <c r="C279" t="inlineStr" s="4">
        <is>
          <t>admin.wisata.destinations.create</t>
        </is>
      </c>
      <c r="D279" t="inlineStr" s="4">
        <is>
          <t>Admin Wisata</t>
        </is>
      </c>
      <c r="E279" t="inlineStr" s="4">
        <is>
          <t>Admin</t>
        </is>
      </c>
      <c r="F279" t="inlineStr" s="4">
        <is>
          <t>App\Http\Controllers\Admin\WisataDestinationController@create</t>
        </is>
      </c>
      <c r="G279" t="inlineStr" s="4">
        <is>
          <t>web, Illuminate\Auth\Middleware\Authenticate, Illuminate\Auth\Middleware\EnsureEmailIsVerified, App\Http\Middleware\EnsureAdmin, App\Http\Middleware\LogAdminActivity</t>
        </is>
      </c>
    </row>
    <row r="280" ht="22" customHeight="1">
      <c r="A280" t="inlineStr" s="4">
        <is>
          <t>GET|HEAD</t>
        </is>
      </c>
      <c r="B280" t="inlineStr" s="4">
        <is>
          <t>admin/wisata/destinations/{destination}</t>
        </is>
      </c>
      <c r="C280" t="inlineStr" s="4">
        <is>
          <t>admin.wisata.destinations.show</t>
        </is>
      </c>
      <c r="D280" t="inlineStr" s="4">
        <is>
          <t>Admin Wisata</t>
        </is>
      </c>
      <c r="E280" t="inlineStr" s="4">
        <is>
          <t>Admin</t>
        </is>
      </c>
      <c r="F280" t="inlineStr" s="4">
        <is>
          <t>App\Http\Controllers\Admin\WisataDestinationController@show</t>
        </is>
      </c>
      <c r="G280" t="inlineStr" s="4">
        <is>
          <t>web, Illuminate\Auth\Middleware\Authenticate, Illuminate\Auth\Middleware\EnsureEmailIsVerified, App\Http\Middleware\EnsureAdmin, App\Http\Middleware\LogAdminActivity</t>
        </is>
      </c>
    </row>
    <row r="281" ht="22" customHeight="1">
      <c r="A281" t="inlineStr" s="4">
        <is>
          <t>PUT</t>
        </is>
      </c>
      <c r="B281" t="inlineStr" s="4">
        <is>
          <t>admin/wisata/destinations/{destination}</t>
        </is>
      </c>
      <c r="C281" t="inlineStr" s="4">
        <is>
          <t>admin.wisata.destinations.update</t>
        </is>
      </c>
      <c r="D281" t="inlineStr" s="4">
        <is>
          <t>Admin Wisata</t>
        </is>
      </c>
      <c r="E281" t="inlineStr" s="4">
        <is>
          <t>Admin</t>
        </is>
      </c>
      <c r="F281" t="inlineStr" s="4">
        <is>
          <t>App\Http\Controllers\Admin\WisataDestinationController@update</t>
        </is>
      </c>
      <c r="G281" t="inlineStr" s="4">
        <is>
          <t>web, Illuminate\Auth\Middleware\Authenticate, Illuminate\Auth\Middleware\EnsureEmailIsVerified, App\Http\Middleware\EnsureAdmin, App\Http\Middleware\LogAdminActivity</t>
        </is>
      </c>
    </row>
    <row r="282" ht="22" customHeight="1">
      <c r="A282" t="inlineStr" s="4">
        <is>
          <t>DELETE</t>
        </is>
      </c>
      <c r="B282" t="inlineStr" s="4">
        <is>
          <t>admin/wisata/destinations/{destination}</t>
        </is>
      </c>
      <c r="C282" t="inlineStr" s="4">
        <is>
          <t>admin.wisata.destinations.destroy</t>
        </is>
      </c>
      <c r="D282" t="inlineStr" s="4">
        <is>
          <t>Admin Wisata</t>
        </is>
      </c>
      <c r="E282" t="inlineStr" s="4">
        <is>
          <t>Admin</t>
        </is>
      </c>
      <c r="F282" t="inlineStr" s="4">
        <is>
          <t>App\Http\Controllers\Admin\WisataDestinationController@destroy</t>
        </is>
      </c>
      <c r="G282" t="inlineStr" s="4">
        <is>
          <t>web, Illuminate\Auth\Middleware\Authenticate, Illuminate\Auth\Middleware\EnsureEmailIsVerified, App\Http\Middleware\EnsureAdmin, App\Http\Middleware\LogAdminActivity</t>
        </is>
      </c>
    </row>
    <row r="283" ht="22" customHeight="1">
      <c r="A283" t="inlineStr" s="4">
        <is>
          <t>POST</t>
        </is>
      </c>
      <c r="B283" t="inlineStr" s="4">
        <is>
          <t>admin/wisata/destinations/{destination}/suspend</t>
        </is>
      </c>
      <c r="C283" t="inlineStr" s="4">
        <is>
          <t>admin.wisata.destinations.suspend</t>
        </is>
      </c>
      <c r="D283" t="inlineStr" s="4">
        <is>
          <t>Admin Wisata</t>
        </is>
      </c>
      <c r="E283" t="inlineStr" s="4">
        <is>
          <t>Admin</t>
        </is>
      </c>
      <c r="F283" t="inlineStr" s="4">
        <is>
          <t>App\Http\Controllers\Admin\WisataDestinationController@suspend</t>
        </is>
      </c>
      <c r="G283" t="inlineStr" s="4">
        <is>
          <t>web, Illuminate\Auth\Middleware\Authenticate, Illuminate\Auth\Middleware\EnsureEmailIsVerified, App\Http\Middleware\EnsureAdmin, App\Http\Middleware\LogAdminActivity</t>
        </is>
      </c>
    </row>
    <row r="284" ht="22" customHeight="1">
      <c r="A284" t="inlineStr" s="4">
        <is>
          <t>POST</t>
        </is>
      </c>
      <c r="B284" t="inlineStr" s="4">
        <is>
          <t>admin/wisata/disputes/{dispute}</t>
        </is>
      </c>
      <c r="C284" t="inlineStr" s="4">
        <is>
          <t>admin.wisata.disputes.update</t>
        </is>
      </c>
      <c r="D284" t="inlineStr" s="4">
        <is>
          <t>Admin Wisata</t>
        </is>
      </c>
      <c r="E284" t="inlineStr" s="4">
        <is>
          <t>Admin</t>
        </is>
      </c>
      <c r="F284" t="inlineStr" s="4">
        <is>
          <t>App\Http\Controllers\Admin\WisataExceptionController@resolveDispute</t>
        </is>
      </c>
      <c r="G284" t="inlineStr" s="4">
        <is>
          <t>web, Illuminate\Auth\Middleware\Authenticate, Illuminate\Auth\Middleware\EnsureEmailIsVerified, App\Http\Middleware\EnsureAdmin, App\Http\Middleware\LogAdminActivity</t>
        </is>
      </c>
    </row>
    <row r="285" ht="22" customHeight="1">
      <c r="A285" t="inlineStr" s="4">
        <is>
          <t>GET|HEAD</t>
        </is>
      </c>
      <c r="B285" t="inlineStr" s="4">
        <is>
          <t>admin/wisata/exceptions</t>
        </is>
      </c>
      <c r="C285" t="inlineStr" s="4">
        <is>
          <t>admin.wisata.exceptions.index</t>
        </is>
      </c>
      <c r="D285" t="inlineStr" s="4">
        <is>
          <t>Admin Wisata</t>
        </is>
      </c>
      <c r="E285" t="inlineStr" s="4">
        <is>
          <t>Admin</t>
        </is>
      </c>
      <c r="F285" t="inlineStr" s="4">
        <is>
          <t>App\Http\Controllers\Admin\WisataExceptionController@index</t>
        </is>
      </c>
      <c r="G285" t="inlineStr" s="4">
        <is>
          <t>web, Illuminate\Auth\Middleware\Authenticate, Illuminate\Auth\Middleware\EnsureEmailIsVerified, App\Http\Middleware\EnsureAdmin, App\Http\Middleware\LogAdminActivity</t>
        </is>
      </c>
    </row>
    <row r="286" ht="22" customHeight="1">
      <c r="A286" t="inlineStr" s="4">
        <is>
          <t>GET|HEAD</t>
        </is>
      </c>
      <c r="B286" t="inlineStr" s="4">
        <is>
          <t>admin/wisata/finance/commissions</t>
        </is>
      </c>
      <c r="C286" t="inlineStr" s="4">
        <is>
          <t>admin.wisata.finance.commissions</t>
        </is>
      </c>
      <c r="D286" t="inlineStr" s="4">
        <is>
          <t>Admin Wisata</t>
        </is>
      </c>
      <c r="E286" t="inlineStr" s="4">
        <is>
          <t>Admin</t>
        </is>
      </c>
      <c r="F286" t="inlineStr" s="4">
        <is>
          <t>App\Http\Controllers\Admin\WisataFinanceController@commissions</t>
        </is>
      </c>
      <c r="G286" t="inlineStr" s="4">
        <is>
          <t>web, Illuminate\Auth\Middleware\Authenticate, Illuminate\Auth\Middleware\EnsureEmailIsVerified, App\Http\Middleware\EnsureAdmin, App\Http\Middleware\LogAdminActivity</t>
        </is>
      </c>
    </row>
    <row r="287" ht="22" customHeight="1">
      <c r="A287" t="inlineStr" s="4">
        <is>
          <t>POST</t>
        </is>
      </c>
      <c r="B287" t="inlineStr" s="4">
        <is>
          <t>admin/wisata/finance/commissions</t>
        </is>
      </c>
      <c r="C287" t="inlineStr" s="4">
        <is>
          <t>admin.wisata.finance.commissions.store</t>
        </is>
      </c>
      <c r="D287" t="inlineStr" s="4">
        <is>
          <t>Admin Wisata</t>
        </is>
      </c>
      <c r="E287" t="inlineStr" s="4">
        <is>
          <t>Admin</t>
        </is>
      </c>
      <c r="F287" t="inlineStr" s="4">
        <is>
          <t>App\Http\Controllers\Admin\WisataFinanceController@storeCommission</t>
        </is>
      </c>
      <c r="G287" t="inlineStr" s="4">
        <is>
          <t>web, Illuminate\Auth\Middleware\Authenticate, Illuminate\Auth\Middleware\EnsureEmailIsVerified, App\Http\Middleware\EnsureAdmin, App\Http\Middleware\LogAdminActivity</t>
        </is>
      </c>
    </row>
    <row r="288" ht="22" customHeight="1">
      <c r="A288" t="inlineStr" s="4">
        <is>
          <t>GET|HEAD</t>
        </is>
      </c>
      <c r="B288" t="inlineStr" s="4">
        <is>
          <t>admin/wisata/finance/payouts</t>
        </is>
      </c>
      <c r="C288" t="inlineStr" s="4">
        <is>
          <t>admin.wisata.finance.payouts</t>
        </is>
      </c>
      <c r="D288" t="inlineStr" s="4">
        <is>
          <t>Admin Wisata</t>
        </is>
      </c>
      <c r="E288" t="inlineStr" s="4">
        <is>
          <t>Admin</t>
        </is>
      </c>
      <c r="F288" t="inlineStr" s="4">
        <is>
          <t>App\Http\Controllers\Admin\WisataFinanceController@payouts</t>
        </is>
      </c>
      <c r="G288" t="inlineStr" s="4">
        <is>
          <t>web, Illuminate\Auth\Middleware\Authenticate, Illuminate\Auth\Middleware\EnsureEmailIsVerified, App\Http\Middleware\EnsureAdmin, App\Http\Middleware\LogAdminActivity</t>
        </is>
      </c>
    </row>
    <row r="289" ht="22" customHeight="1">
      <c r="A289" t="inlineStr" s="4">
        <is>
          <t>POST</t>
        </is>
      </c>
      <c r="B289" t="inlineStr" s="4">
        <is>
          <t>admin/wisata/finance/payouts</t>
        </is>
      </c>
      <c r="C289" t="inlineStr" s="4">
        <is>
          <t>admin.wisata.finance.payouts.create</t>
        </is>
      </c>
      <c r="D289" t="inlineStr" s="4">
        <is>
          <t>Admin Wisata</t>
        </is>
      </c>
      <c r="E289" t="inlineStr" s="4">
        <is>
          <t>Admin</t>
        </is>
      </c>
      <c r="F289" t="inlineStr" s="4">
        <is>
          <t>App\Http\Controllers\Admin\WisataFinanceController@generatePayout</t>
        </is>
      </c>
      <c r="G289" t="inlineStr" s="4">
        <is>
          <t>web, Illuminate\Auth\Middleware\Authenticate, Illuminate\Auth\Middleware\EnsureEmailIsVerified, App\Http\Middleware\EnsureAdmin, App\Http\Middleware\LogAdminActivity</t>
        </is>
      </c>
    </row>
    <row r="290" ht="22" customHeight="1">
      <c r="A290" t="inlineStr" s="4">
        <is>
          <t>POST</t>
        </is>
      </c>
      <c r="B290" t="inlineStr" s="4">
        <is>
          <t>admin/wisata/finance/payouts/{payout}</t>
        </is>
      </c>
      <c r="C290" t="inlineStr" s="4">
        <is>
          <t>admin.wisata.finance.payouts.update</t>
        </is>
      </c>
      <c r="D290" t="inlineStr" s="4">
        <is>
          <t>Admin Wisata</t>
        </is>
      </c>
      <c r="E290" t="inlineStr" s="4">
        <is>
          <t>Admin</t>
        </is>
      </c>
      <c r="F290" t="inlineStr" s="4">
        <is>
          <t>App\Http\Controllers\Admin\WisataFinanceController@updatePayout</t>
        </is>
      </c>
      <c r="G290" t="inlineStr" s="4">
        <is>
          <t>web, Illuminate\Auth\Middleware\Authenticate, Illuminate\Auth\Middleware\EnsureEmailIsVerified, App\Http\Middleware\EnsureAdmin, App\Http\Middleware\LogAdminActivity</t>
        </is>
      </c>
    </row>
    <row r="291" ht="22" customHeight="1">
      <c r="A291" t="inlineStr" s="4">
        <is>
          <t>GET|HEAD</t>
        </is>
      </c>
      <c r="B291" t="inlineStr" s="4">
        <is>
          <t>admin/wisata/finance/reports</t>
        </is>
      </c>
      <c r="C291" t="inlineStr" s="4">
        <is>
          <t>admin.wisata.finance.reports</t>
        </is>
      </c>
      <c r="D291" t="inlineStr" s="4">
        <is>
          <t>Admin Wisata</t>
        </is>
      </c>
      <c r="E291" t="inlineStr" s="4">
        <is>
          <t>Admin</t>
        </is>
      </c>
      <c r="F291" t="inlineStr" s="4">
        <is>
          <t>App\Http\Controllers\Admin\WisataFinanceController@reports</t>
        </is>
      </c>
      <c r="G291" t="inlineStr" s="4">
        <is>
          <t>web, Illuminate\Auth\Middleware\Authenticate, Illuminate\Auth\Middleware\EnsureEmailIsVerified, App\Http\Middleware\EnsureAdmin, App\Http\Middleware\LogAdminActivity</t>
        </is>
      </c>
    </row>
    <row r="292" ht="22" customHeight="1">
      <c r="A292" t="inlineStr" s="4">
        <is>
          <t>POST</t>
        </is>
      </c>
      <c r="B292" t="inlineStr" s="4">
        <is>
          <t>admin/wisata/reviews/{review}</t>
        </is>
      </c>
      <c r="C292" t="inlineStr" s="4">
        <is>
          <t>admin.wisata.reviews.update</t>
        </is>
      </c>
      <c r="D292" t="inlineStr" s="4">
        <is>
          <t>Admin Wisata</t>
        </is>
      </c>
      <c r="E292" t="inlineStr" s="4">
        <is>
          <t>Admin</t>
        </is>
      </c>
      <c r="F292" t="inlineStr" s="4">
        <is>
          <t>App\Http\Controllers\Admin\WisataContentController@updateReview</t>
        </is>
      </c>
      <c r="G292" t="inlineStr" s="4">
        <is>
          <t>web, Illuminate\Auth\Middleware\Authenticate, Illuminate\Auth\Middleware\EnsureEmailIsVerified, App\Http\Middleware\EnsureAdmin, App\Http\Middleware\LogAdminActivity</t>
        </is>
      </c>
    </row>
    <row r="293" ht="22" customHeight="1">
      <c r="A293" t="inlineStr" s="4">
        <is>
          <t>GET|HEAD</t>
        </is>
      </c>
      <c r="B293" t="inlineStr" s="4">
        <is>
          <t>admin/wisata/scans</t>
        </is>
      </c>
      <c r="C293" t="inlineStr" s="4">
        <is>
          <t>admin.wisata.scans.index</t>
        </is>
      </c>
      <c r="D293" t="inlineStr" s="4">
        <is>
          <t>Admin Wisata</t>
        </is>
      </c>
      <c r="E293" t="inlineStr" s="4">
        <is>
          <t>Admin</t>
        </is>
      </c>
      <c r="F293" t="inlineStr" s="4">
        <is>
          <t>App\Http\Controllers\Admin\WisataScanController@index</t>
        </is>
      </c>
      <c r="G293" t="inlineStr" s="4">
        <is>
          <t>web, Illuminate\Auth\Middleware\Authenticate, Illuminate\Auth\Middleware\EnsureEmailIsVerified, App\Http\Middleware\EnsureAdmin, App\Http\Middleware\LogAdminActivity</t>
        </is>
      </c>
    </row>
    <row r="294" ht="22" customHeight="1">
      <c r="A294" t="inlineStr" s="4">
        <is>
          <t>GET|HEAD</t>
        </is>
      </c>
      <c r="B294" t="inlineStr" s="4">
        <is>
          <t>admin/wisata/tickets</t>
        </is>
      </c>
      <c r="C294" t="inlineStr" s="4">
        <is>
          <t>admin.wisata.tickets.index</t>
        </is>
      </c>
      <c r="D294" t="inlineStr" s="4">
        <is>
          <t>Admin Wisata</t>
        </is>
      </c>
      <c r="E294" t="inlineStr" s="4">
        <is>
          <t>Admin</t>
        </is>
      </c>
      <c r="F294" t="inlineStr" s="4">
        <is>
          <t>App\Http\Controllers\Admin\WisataTicketController@index</t>
        </is>
      </c>
      <c r="G294" t="inlineStr" s="4">
        <is>
          <t>web, Illuminate\Auth\Middleware\Authenticate, Illuminate\Auth\Middleware\EnsureEmailIsVerified, App\Http\Middleware\EnsureAdmin, App\Http\Middleware\LogAdminActivity</t>
        </is>
      </c>
    </row>
    <row r="295" ht="22" customHeight="1">
      <c r="A295" t="inlineStr" s="4">
        <is>
          <t>POST</t>
        </is>
      </c>
      <c r="B295" t="inlineStr" s="4">
        <is>
          <t>admin/wisata/tickets</t>
        </is>
      </c>
      <c r="C295" t="inlineStr" s="4">
        <is>
          <t>admin.wisata.tickets.store</t>
        </is>
      </c>
      <c r="D295" t="inlineStr" s="4">
        <is>
          <t>Admin Wisata</t>
        </is>
      </c>
      <c r="E295" t="inlineStr" s="4">
        <is>
          <t>Admin</t>
        </is>
      </c>
      <c r="F295" t="inlineStr" s="4">
        <is>
          <t>App\Http\Controllers\Admin\WisataTicketController@store</t>
        </is>
      </c>
      <c r="G295" t="inlineStr" s="4">
        <is>
          <t>web, Illuminate\Auth\Middleware\Authenticate, Illuminate\Auth\Middleware\EnsureEmailIsVerified, App\Http\Middleware\EnsureAdmin, App\Http\Middleware\LogAdminActivity</t>
        </is>
      </c>
    </row>
    <row r="296" ht="22" customHeight="1">
      <c r="A296" t="inlineStr" s="4">
        <is>
          <t>GET|HEAD</t>
        </is>
      </c>
      <c r="B296" t="inlineStr" s="4">
        <is>
          <t>admin/wisata/tickets/create</t>
        </is>
      </c>
      <c r="C296" t="inlineStr" s="4">
        <is>
          <t>admin.wisata.tickets.create</t>
        </is>
      </c>
      <c r="D296" t="inlineStr" s="4">
        <is>
          <t>Admin Wisata</t>
        </is>
      </c>
      <c r="E296" t="inlineStr" s="4">
        <is>
          <t>Admin</t>
        </is>
      </c>
      <c r="F296" t="inlineStr" s="4">
        <is>
          <t>App\Http\Controllers\Admin\WisataTicketController@create</t>
        </is>
      </c>
      <c r="G296" t="inlineStr" s="4">
        <is>
          <t>web, Illuminate\Auth\Middleware\Authenticate, Illuminate\Auth\Middleware\EnsureEmailIsVerified, App\Http\Middleware\EnsureAdmin, App\Http\Middleware\LogAdminActivity</t>
        </is>
      </c>
    </row>
    <row r="297" ht="22" customHeight="1">
      <c r="A297" t="inlineStr" s="4">
        <is>
          <t>PUT</t>
        </is>
      </c>
      <c r="B297" t="inlineStr" s="4">
        <is>
          <t>admin/wisata/tickets/{ticket}</t>
        </is>
      </c>
      <c r="C297" t="inlineStr" s="4">
        <is>
          <t>admin.wisata.tickets.update</t>
        </is>
      </c>
      <c r="D297" t="inlineStr" s="4">
        <is>
          <t>Admin Wisata</t>
        </is>
      </c>
      <c r="E297" t="inlineStr" s="4">
        <is>
          <t>Admin</t>
        </is>
      </c>
      <c r="F297" t="inlineStr" s="4">
        <is>
          <t>App\Http\Controllers\Admin\WisataTicketController@update</t>
        </is>
      </c>
      <c r="G297" t="inlineStr" s="4">
        <is>
          <t>web, Illuminate\Auth\Middleware\Authenticate, Illuminate\Auth\Middleware\EnsureEmailIsVerified, App\Http\Middleware\EnsureAdmin, App\Http\Middleware\LogAdminActivity</t>
        </is>
      </c>
    </row>
    <row r="298" ht="22" customHeight="1">
      <c r="A298" t="inlineStr" s="4">
        <is>
          <t>DELETE</t>
        </is>
      </c>
      <c r="B298" t="inlineStr" s="4">
        <is>
          <t>admin/wisata/tickets/{ticket}</t>
        </is>
      </c>
      <c r="C298" t="inlineStr" s="4">
        <is>
          <t>admin.wisata.tickets.destroy</t>
        </is>
      </c>
      <c r="D298" t="inlineStr" s="4">
        <is>
          <t>Admin Wisata</t>
        </is>
      </c>
      <c r="E298" t="inlineStr" s="4">
        <is>
          <t>Admin</t>
        </is>
      </c>
      <c r="F298" t="inlineStr" s="4">
        <is>
          <t>App\Http\Controllers\Admin\WisataTicketController@destroy</t>
        </is>
      </c>
      <c r="G298" t="inlineStr" s="4">
        <is>
          <t>web, Illuminate\Auth\Middleware\Authenticate, Illuminate\Auth\Middleware\EnsureEmailIsVerified, App\Http\Middleware\EnsureAdmin, App\Http\Middleware\LogAdminActivity</t>
        </is>
      </c>
    </row>
    <row r="299" ht="22" customHeight="1">
      <c r="A299" t="inlineStr" s="4">
        <is>
          <t>GET|HEAD</t>
        </is>
      </c>
      <c r="B299" t="inlineStr" s="4">
        <is>
          <t>admin/wisata/vouchers</t>
        </is>
      </c>
      <c r="C299" t="inlineStr" s="4">
        <is>
          <t>admin.wisata.vouchers.index</t>
        </is>
      </c>
      <c r="D299" t="inlineStr" s="4">
        <is>
          <t>Admin Wisata</t>
        </is>
      </c>
      <c r="E299" t="inlineStr" s="4">
        <is>
          <t>Admin</t>
        </is>
      </c>
      <c r="F299" t="inlineStr" s="4">
        <is>
          <t>App\Http\Controllers\Admin\VoucherController@index</t>
        </is>
      </c>
      <c r="G299" t="inlineStr" s="4">
        <is>
          <t>web, Illuminate\Auth\Middleware\Authenticate, Illuminate\Auth\Middleware\EnsureEmailIsVerified, App\Http\Middleware\EnsureAdmin, App\Http\Middleware\LogAdminActivity</t>
        </is>
      </c>
    </row>
    <row r="300" ht="22" customHeight="1">
      <c r="A300" t="inlineStr" s="4">
        <is>
          <t>POST</t>
        </is>
      </c>
      <c r="B300" t="inlineStr" s="4">
        <is>
          <t>admin/wisata/vouchers</t>
        </is>
      </c>
      <c r="C300" t="inlineStr" s="4">
        <is>
          <t>admin.wisata.vouchers.store</t>
        </is>
      </c>
      <c r="D300" t="inlineStr" s="4">
        <is>
          <t>Admin Wisata</t>
        </is>
      </c>
      <c r="E300" t="inlineStr" s="4">
        <is>
          <t>Admin</t>
        </is>
      </c>
      <c r="F300" t="inlineStr" s="4">
        <is>
          <t>App\Http\Controllers\Admin\VoucherController@store</t>
        </is>
      </c>
      <c r="G300" t="inlineStr" s="4">
        <is>
          <t>web, Illuminate\Auth\Middleware\Authenticate, Illuminate\Auth\Middleware\EnsureEmailIsVerified, App\Http\Middleware\EnsureAdmin, App\Http\Middleware\LogAdminActivity</t>
        </is>
      </c>
    </row>
    <row r="301" ht="22" customHeight="1">
      <c r="A301" t="inlineStr" s="4">
        <is>
          <t>PUT</t>
        </is>
      </c>
      <c r="B301" t="inlineStr" s="4">
        <is>
          <t>admin/wisata/vouchers/{voucher}</t>
        </is>
      </c>
      <c r="C301" t="inlineStr" s="4">
        <is>
          <t>admin.wisata.vouchers.update</t>
        </is>
      </c>
      <c r="D301" t="inlineStr" s="4">
        <is>
          <t>Admin Wisata</t>
        </is>
      </c>
      <c r="E301" t="inlineStr" s="4">
        <is>
          <t>Admin</t>
        </is>
      </c>
      <c r="F301" t="inlineStr" s="4">
        <is>
          <t>App\Http\Controllers\Admin\VoucherController@update</t>
        </is>
      </c>
      <c r="G301" t="inlineStr" s="4">
        <is>
          <t>web, Illuminate\Auth\Middleware\Authenticate, Illuminate\Auth\Middleware\EnsureEmailIsVerified, App\Http\Middleware\EnsureAdmin, App\Http\Middleware\LogAdminActivity</t>
        </is>
      </c>
    </row>
    <row r="302" ht="22" customHeight="1">
      <c r="A302" t="inlineStr" s="4">
        <is>
          <t>DELETE</t>
        </is>
      </c>
      <c r="B302" t="inlineStr" s="4">
        <is>
          <t>admin/wisata/vouchers/{voucher}</t>
        </is>
      </c>
      <c r="C302" t="inlineStr" s="4">
        <is>
          <t>admin.wisata.vouchers.destroy</t>
        </is>
      </c>
      <c r="D302" t="inlineStr" s="4">
        <is>
          <t>Admin Wisata</t>
        </is>
      </c>
      <c r="E302" t="inlineStr" s="4">
        <is>
          <t>Admin</t>
        </is>
      </c>
      <c r="F302" t="inlineStr" s="4">
        <is>
          <t>App\Http\Controllers\Admin\VoucherController@destroy</t>
        </is>
      </c>
      <c r="G302" t="inlineStr" s="4">
        <is>
          <t>web, Illuminate\Auth\Middleware\Authenticate, Illuminate\Auth\Middleware\EnsureEmailIsVerified, App\Http\Middleware\EnsureAdmin, App\Http\Middleware\LogAdminActivity</t>
        </is>
      </c>
    </row>
    <row r="303" ht="22" customHeight="1">
      <c r="A303" t="inlineStr" s="4">
        <is>
          <t>GET|HEAD</t>
        </is>
      </c>
      <c r="B303" t="inlineStr" s="4">
        <is>
          <t>affiliate</t>
        </is>
      </c>
      <c r="C303" t="inlineStr" s="4">
        <is>
          <t>affiliate.dashboard</t>
        </is>
      </c>
      <c r="D303" t="inlineStr" s="4">
        <is>
          <t>Other / Legacy / Shared</t>
        </is>
      </c>
      <c r="E303" t="inlineStr" s="4">
        <is>
          <t>Guest/Public</t>
        </is>
      </c>
      <c r="F303" t="inlineStr" s="4">
        <is>
          <t>App\Http\Controllers\Affiliate\DashboardController@index</t>
        </is>
      </c>
      <c r="G303" t="inlineStr" s="4">
        <is>
          <t>web, Illuminate\Auth\Middleware\Authenticate, Illuminate\Auth\Middleware\EnsureEmailIsVerified, App\Http\Middleware\EnsureUser, App\Http\Middleware\EnsureAffiliateUser, App\Http\Middleware\LogUserActivity</t>
        </is>
      </c>
    </row>
    <row r="304" ht="22" customHeight="1">
      <c r="A304" t="inlineStr" s="4">
        <is>
          <t>GET|HEAD</t>
        </is>
      </c>
      <c r="B304" t="inlineStr" s="4">
        <is>
          <t>affiliate/catalog</t>
        </is>
      </c>
      <c r="C304" t="inlineStr" s="4">
        <is>
          <t>affiliate.catalog</t>
        </is>
      </c>
      <c r="D304" t="inlineStr" s="4">
        <is>
          <t>Other / Legacy / Shared</t>
        </is>
      </c>
      <c r="E304" t="inlineStr" s="4">
        <is>
          <t>Guest/Public</t>
        </is>
      </c>
      <c r="F304" t="inlineStr" s="4">
        <is>
          <t>App\Http\Controllers\Affiliate\CatalogController@index</t>
        </is>
      </c>
      <c r="G304" t="inlineStr" s="4">
        <is>
          <t>web, Illuminate\Auth\Middleware\Authenticate, Illuminate\Auth\Middleware\EnsureEmailIsVerified, App\Http\Middleware\EnsureUser, App\Http\Middleware\EnsureAffiliateUser, App\Http\Middleware\LogUserActivity</t>
        </is>
      </c>
    </row>
    <row r="305" ht="22" customHeight="1">
      <c r="A305" t="inlineStr" s="4">
        <is>
          <t>GET|HEAD</t>
        </is>
      </c>
      <c r="B305" t="inlineStr" s="4">
        <is>
          <t>affiliate/commissions</t>
        </is>
      </c>
      <c r="C305" t="inlineStr" s="4">
        <is>
          <t>affiliate.commissions</t>
        </is>
      </c>
      <c r="D305" t="inlineStr" s="4">
        <is>
          <t>Other / Legacy / Shared</t>
        </is>
      </c>
      <c r="E305" t="inlineStr" s="4">
        <is>
          <t>Guest/Public</t>
        </is>
      </c>
      <c r="F305" t="inlineStr" s="4">
        <is>
          <t>App\Http\Controllers\Affiliate\CommissionController@index</t>
        </is>
      </c>
      <c r="G305" t="inlineStr" s="4">
        <is>
          <t>web, Illuminate\Auth\Middleware\Authenticate, Illuminate\Auth\Middleware\EnsureEmailIsVerified, App\Http\Middleware\EnsureUser, App\Http\Middleware\EnsureAffiliateUser, App\Http\Middleware\LogUserActivity</t>
        </is>
      </c>
    </row>
    <row r="306" ht="22" customHeight="1">
      <c r="A306" t="inlineStr" s="4">
        <is>
          <t>GET|HEAD</t>
        </is>
      </c>
      <c r="B306" t="inlineStr" s="4">
        <is>
          <t>affiliate/links</t>
        </is>
      </c>
      <c r="C306" t="inlineStr" s="4">
        <is>
          <t>affiliate.links</t>
        </is>
      </c>
      <c r="D306" t="inlineStr" s="4">
        <is>
          <t>Other / Legacy / Shared</t>
        </is>
      </c>
      <c r="E306" t="inlineStr" s="4">
        <is>
          <t>Guest/Public</t>
        </is>
      </c>
      <c r="F306" t="inlineStr" s="4">
        <is>
          <t>App\Http\Controllers\Affiliate\LinkController@index</t>
        </is>
      </c>
      <c r="G306" t="inlineStr" s="4">
        <is>
          <t>web, Illuminate\Auth\Middleware\Authenticate, Illuminate\Auth\Middleware\EnsureEmailIsVerified, App\Http\Middleware\EnsureUser, App\Http\Middleware\EnsureAffiliateUser, App\Http\Middleware\LogUserActivity</t>
        </is>
      </c>
    </row>
    <row r="307" ht="22" customHeight="1">
      <c r="A307" t="inlineStr" s="4">
        <is>
          <t>POST</t>
        </is>
      </c>
      <c r="B307" t="inlineStr" s="4">
        <is>
          <t>affiliate/links</t>
        </is>
      </c>
      <c r="C307" t="inlineStr" s="4">
        <is>
          <t>affiliate.links.store</t>
        </is>
      </c>
      <c r="D307" t="inlineStr" s="4">
        <is>
          <t>Other / Legacy / Shared</t>
        </is>
      </c>
      <c r="E307" t="inlineStr" s="4">
        <is>
          <t>Guest/Public</t>
        </is>
      </c>
      <c r="F307" t="inlineStr" s="4">
        <is>
          <t>App\Http\Controllers\Affiliate\LinkController@store</t>
        </is>
      </c>
      <c r="G307" t="inlineStr" s="4">
        <is>
          <t>web, Illuminate\Auth\Middleware\Authenticate, Illuminate\Auth\Middleware\EnsureEmailIsVerified, App\Http\Middleware\EnsureUser, App\Http\Middleware\EnsureAffiliateUser, App\Http\Middleware\LogUserActivity</t>
        </is>
      </c>
    </row>
    <row r="308" ht="22" customHeight="1">
      <c r="A308" t="inlineStr" s="4">
        <is>
          <t>GET|HEAD</t>
        </is>
      </c>
      <c r="B308" t="inlineStr" s="4">
        <is>
          <t>affiliate/notifications</t>
        </is>
      </c>
      <c r="C308" t="inlineStr" s="4">
        <is>
          <t>affiliate.notifications</t>
        </is>
      </c>
      <c r="D308" t="inlineStr" s="4">
        <is>
          <t>Other / Legacy / Shared</t>
        </is>
      </c>
      <c r="E308" t="inlineStr" s="4">
        <is>
          <t>Guest/Public</t>
        </is>
      </c>
      <c r="F308" t="inlineStr" s="4">
        <is>
          <t>App\Http\Controllers\Affiliate\NotificationController@index</t>
        </is>
      </c>
      <c r="G308" t="inlineStr" s="4">
        <is>
          <t>web, Illuminate\Auth\Middleware\Authenticate, Illuminate\Auth\Middleware\EnsureEmailIsVerified, App\Http\Middleware\EnsureUser, App\Http\Middleware\EnsureAffiliateUser, App\Http\Middleware\LogUserActivity</t>
        </is>
      </c>
    </row>
    <row r="309" ht="22" customHeight="1">
      <c r="A309" t="inlineStr" s="4">
        <is>
          <t>GET|HEAD</t>
        </is>
      </c>
      <c r="B309" t="inlineStr" s="4">
        <is>
          <t>affiliate/payouts</t>
        </is>
      </c>
      <c r="C309" t="inlineStr" s="4">
        <is>
          <t>affiliate.payouts</t>
        </is>
      </c>
      <c r="D309" t="inlineStr" s="4">
        <is>
          <t>Other / Legacy / Shared</t>
        </is>
      </c>
      <c r="E309" t="inlineStr" s="4">
        <is>
          <t>Guest/Public</t>
        </is>
      </c>
      <c r="F309" t="inlineStr" s="4">
        <is>
          <t>App\Http\Controllers\Affiliate\PayoutController@index</t>
        </is>
      </c>
      <c r="G309" t="inlineStr" s="4">
        <is>
          <t>web, Illuminate\Auth\Middleware\Authenticate, Illuminate\Auth\Middleware\EnsureEmailIsVerified, App\Http\Middleware\EnsureUser, App\Http\Middleware\EnsureAffiliateUser, App\Http\Middleware\LogUserActivity</t>
        </is>
      </c>
    </row>
    <row r="310" ht="22" customHeight="1">
      <c r="A310" t="inlineStr" s="4">
        <is>
          <t>POST</t>
        </is>
      </c>
      <c r="B310" t="inlineStr" s="4">
        <is>
          <t>affiliate/payouts</t>
        </is>
      </c>
      <c r="C310" t="inlineStr" s="4">
        <is>
          <t>affiliate.payouts.store</t>
        </is>
      </c>
      <c r="D310" t="inlineStr" s="4">
        <is>
          <t>Other / Legacy / Shared</t>
        </is>
      </c>
      <c r="E310" t="inlineStr" s="4">
        <is>
          <t>Guest/Public</t>
        </is>
      </c>
      <c r="F310" t="inlineStr" s="4">
        <is>
          <t>App\Http\Controllers\Affiliate\PayoutController@store</t>
        </is>
      </c>
      <c r="G310" t="inlineStr" s="4">
        <is>
          <t>web, Illuminate\Auth\Middleware\Authenticate, Illuminate\Auth\Middleware\EnsureEmailIsVerified, App\Http\Middleware\EnsureUser, App\Http\Middleware\EnsureAffiliateUser, App\Http\Middleware\LogUserActivity</t>
        </is>
      </c>
    </row>
    <row r="311" ht="22" customHeight="1">
      <c r="A311" t="inlineStr" s="4">
        <is>
          <t>GET|HEAD</t>
        </is>
      </c>
      <c r="B311" t="inlineStr" s="4">
        <is>
          <t>affiliate/profile</t>
        </is>
      </c>
      <c r="C311" t="inlineStr" s="4">
        <is>
          <t>affiliate.profile</t>
        </is>
      </c>
      <c r="D311" t="inlineStr" s="4">
        <is>
          <t>Other / Legacy / Shared</t>
        </is>
      </c>
      <c r="E311" t="inlineStr" s="4">
        <is>
          <t>Guest/Public</t>
        </is>
      </c>
      <c r="F311" t="inlineStr" s="4">
        <is>
          <t>App\Http\Controllers\Affiliate\ProfileController@show</t>
        </is>
      </c>
      <c r="G311" t="inlineStr" s="4">
        <is>
          <t>web, Illuminate\Auth\Middleware\Authenticate, Illuminate\Auth\Middleware\EnsureEmailIsVerified, App\Http\Middleware\EnsureUser, App\Http\Middleware\EnsureAffiliateUser, App\Http\Middleware\LogUserActivity</t>
        </is>
      </c>
    </row>
    <row r="312" ht="22" customHeight="1">
      <c r="A312" t="inlineStr" s="4">
        <is>
          <t>PUT</t>
        </is>
      </c>
      <c r="B312" t="inlineStr" s="4">
        <is>
          <t>affiliate/profile</t>
        </is>
      </c>
      <c r="C312" t="inlineStr" s="4">
        <is>
          <t>affiliate.profile.update</t>
        </is>
      </c>
      <c r="D312" t="inlineStr" s="4">
        <is>
          <t>Other / Legacy / Shared</t>
        </is>
      </c>
      <c r="E312" t="inlineStr" s="4">
        <is>
          <t>Guest/Public</t>
        </is>
      </c>
      <c r="F312" t="inlineStr" s="4">
        <is>
          <t>App\Http\Controllers\Affiliate\ProfileController@update</t>
        </is>
      </c>
      <c r="G312" t="inlineStr" s="4">
        <is>
          <t>web, Illuminate\Auth\Middleware\Authenticate, Illuminate\Auth\Middleware\EnsureEmailIsVerified, App\Http\Middleware\EnsureUser, App\Http\Middleware\EnsureAffiliateUser, App\Http\Middleware\LogUserActivity</t>
        </is>
      </c>
    </row>
    <row r="313" ht="22" customHeight="1">
      <c r="A313" t="inlineStr" s="4">
        <is>
          <t>POST</t>
        </is>
      </c>
      <c r="B313" t="inlineStr" s="4">
        <is>
          <t>affiliate/referral/apply</t>
        </is>
      </c>
      <c r="C313" t="inlineStr" s="4">
        <is>
          <t>affiliate.referral.apply</t>
        </is>
      </c>
      <c r="D313" t="inlineStr" s="4">
        <is>
          <t>Other / Legacy / Shared</t>
        </is>
      </c>
      <c r="E313" t="inlineStr" s="4">
        <is>
          <t>Guest/Public</t>
        </is>
      </c>
      <c r="F313" t="inlineStr" s="4">
        <is>
          <t>App\Http\Controllers\Affiliate\ReferralController@apply</t>
        </is>
      </c>
      <c r="G313" t="inlineStr" s="4">
        <is>
          <t>web</t>
        </is>
      </c>
    </row>
    <row r="314" ht="22" customHeight="1">
      <c r="A314" t="inlineStr" s="4">
        <is>
          <t>POST</t>
        </is>
      </c>
      <c r="B314" t="inlineStr" s="4">
        <is>
          <t>affiliate/referral/clear</t>
        </is>
      </c>
      <c r="C314" t="inlineStr" s="4">
        <is>
          <t>affiliate.referral.clear</t>
        </is>
      </c>
      <c r="D314" t="inlineStr" s="4">
        <is>
          <t>Other / Legacy / Shared</t>
        </is>
      </c>
      <c r="E314" t="inlineStr" s="4">
        <is>
          <t>Guest/Public</t>
        </is>
      </c>
      <c r="F314" t="inlineStr" s="4">
        <is>
          <t>App\Http\Controllers\Affiliate\ReferralController@clear</t>
        </is>
      </c>
      <c r="G314" t="inlineStr" s="4">
        <is>
          <t>web</t>
        </is>
      </c>
    </row>
    <row r="315" ht="22" customHeight="1">
      <c r="A315" t="inlineStr" s="4">
        <is>
          <t>GET|HEAD</t>
        </is>
      </c>
      <c r="B315" t="inlineStr" s="4">
        <is>
          <t>affiliate/register</t>
        </is>
      </c>
      <c r="C315" t="inlineStr" s="4">
        <is>
          <t>affiliate.register</t>
        </is>
      </c>
      <c r="D315" t="inlineStr" s="4">
        <is>
          <t>Other / Legacy / Shared</t>
        </is>
      </c>
      <c r="E315" t="inlineStr" s="4">
        <is>
          <t>Guest/Public</t>
        </is>
      </c>
      <c r="F315" t="inlineStr" s="4">
        <is>
          <t>App\Http\Controllers\Affiliate\RegisterController@create</t>
        </is>
      </c>
      <c r="G315" t="inlineStr" s="4">
        <is>
          <t>web, Illuminate\Auth\Middleware\Authenticate, Illuminate\Auth\Middleware\EnsureEmailIsVerified, App\Http\Middleware\EnsureUser, App\Http\Middleware\LogUserActivity</t>
        </is>
      </c>
    </row>
    <row r="316" ht="22" customHeight="1">
      <c r="A316" t="inlineStr" s="4">
        <is>
          <t>POST</t>
        </is>
      </c>
      <c r="B316" t="inlineStr" s="4">
        <is>
          <t>affiliate/register</t>
        </is>
      </c>
      <c r="C316" t="inlineStr" s="4">
        <is>
          <t>affiliate.register.store</t>
        </is>
      </c>
      <c r="D316" t="inlineStr" s="4">
        <is>
          <t>Other / Legacy / Shared</t>
        </is>
      </c>
      <c r="E316" t="inlineStr" s="4">
        <is>
          <t>Guest/Public</t>
        </is>
      </c>
      <c r="F316" t="inlineStr" s="4">
        <is>
          <t>App\Http\Controllers\Affiliate\RegisterController@store</t>
        </is>
      </c>
      <c r="G316" t="inlineStr" s="4">
        <is>
          <t>web, Illuminate\Auth\Middleware\Authenticate, Illuminate\Auth\Middleware\EnsureEmailIsVerified, App\Http\Middleware\EnsureUser, App\Http\Middleware\LogUserActivity</t>
        </is>
      </c>
    </row>
    <row r="317" ht="22" customHeight="1">
      <c r="A317" t="inlineStr" s="4">
        <is>
          <t>GET|HEAD</t>
        </is>
      </c>
      <c r="B317" t="inlineStr" s="4">
        <is>
          <t>affiliate/support</t>
        </is>
      </c>
      <c r="C317" t="inlineStr" s="4">
        <is>
          <t>affiliate.support</t>
        </is>
      </c>
      <c r="D317" t="inlineStr" s="4">
        <is>
          <t>Other / Legacy / Shared</t>
        </is>
      </c>
      <c r="E317" t="inlineStr" s="4">
        <is>
          <t>Guest/Public</t>
        </is>
      </c>
      <c r="F317" t="inlineStr" s="4">
        <is>
          <t>App\Http\Controllers\Affiliate\SupportController@index</t>
        </is>
      </c>
      <c r="G317" t="inlineStr" s="4">
        <is>
          <t>web, Illuminate\Auth\Middleware\Authenticate, Illuminate\Auth\Middleware\EnsureEmailIsVerified, App\Http\Middleware\EnsureUser, App\Http\Middleware\EnsureAffiliateUser, App\Http\Middleware\LogUserActivity</t>
        </is>
      </c>
    </row>
    <row r="318" ht="22" customHeight="1">
      <c r="A318" t="inlineStr" s="4">
        <is>
          <t>GET|HEAD</t>
        </is>
      </c>
      <c r="B318" t="inlineStr" s="4">
        <is>
          <t>affiliate/terms</t>
        </is>
      </c>
      <c r="C318" t="inlineStr" s="4">
        <is>
          <t>affiliate.terms</t>
        </is>
      </c>
      <c r="D318" t="inlineStr" s="4">
        <is>
          <t>Other / Legacy / Shared</t>
        </is>
      </c>
      <c r="E318" t="inlineStr" s="4">
        <is>
          <t>Guest/Public</t>
        </is>
      </c>
      <c r="F318" t="inlineStr" s="4">
        <is>
          <t>App\Http\Controllers\Affiliate\TermsController@index</t>
        </is>
      </c>
      <c r="G318" t="inlineStr" s="4">
        <is>
          <t>web, Illuminate\Auth\Middleware\Authenticate, Illuminate\Auth\Middleware\EnsureEmailIsVerified, App\Http\Middleware\EnsureUser, App\Http\Middleware\EnsureAffiliateUser, App\Http\Middleware\LogUserActivity</t>
        </is>
      </c>
    </row>
    <row r="319" ht="22" customHeight="1">
      <c r="A319" t="inlineStr" s="4">
        <is>
          <t>POST</t>
        </is>
      </c>
      <c r="B319" t="inlineStr" s="4">
        <is>
          <t>api/admin/notifications</t>
        </is>
      </c>
      <c r="C319" s="4"/>
      <c r="D319" t="inlineStr" s="4">
        <is>
          <t>Mobile/Public API</t>
        </is>
      </c>
      <c r="E319" t="inlineStr" s="4">
        <is>
          <t>Guest/Public</t>
        </is>
      </c>
      <c r="F319" t="inlineStr" s="4">
        <is>
          <t>App\Http\Controllers\Api\AdminNotificationController@store</t>
        </is>
      </c>
      <c r="G319" t="inlineStr" s="4">
        <is>
          <t>api, Illuminate\Auth\Middleware\Authenticate:sanctum, Illuminate\Auth\Middleware\EnsureEmailIsVerified, App\Http\Middleware\EnsureApiAdmin</t>
        </is>
      </c>
    </row>
    <row r="320" ht="22" customHeight="1">
      <c r="A320" t="inlineStr" s="4">
        <is>
          <t>POST</t>
        </is>
      </c>
      <c r="B320" t="inlineStr" s="4">
        <is>
          <t>api/auth/google</t>
        </is>
      </c>
      <c r="C320" s="4"/>
      <c r="D320" t="inlineStr" s="4">
        <is>
          <t>Mobile API Auth</t>
        </is>
      </c>
      <c r="E320" t="inlineStr" s="4">
        <is>
          <t>Guest/Public</t>
        </is>
      </c>
      <c r="F320" t="inlineStr" s="4">
        <is>
          <t>App\Http\Controllers\Api\SocialAuthController@google</t>
        </is>
      </c>
      <c r="G320" t="inlineStr" s="4">
        <is>
          <t>api</t>
        </is>
      </c>
    </row>
    <row r="321" ht="22" customHeight="1">
      <c r="A321" t="inlineStr" s="4">
        <is>
          <t>POST</t>
        </is>
      </c>
      <c r="B321" t="inlineStr" s="4">
        <is>
          <t>api/auth/login</t>
        </is>
      </c>
      <c r="C321" s="4"/>
      <c r="D321" t="inlineStr" s="4">
        <is>
          <t>Mobile API Auth</t>
        </is>
      </c>
      <c r="E321" t="inlineStr" s="4">
        <is>
          <t>Guest/Public</t>
        </is>
      </c>
      <c r="F321" t="inlineStr" s="4">
        <is>
          <t>App\Http\Controllers\Api\AuthController@login</t>
        </is>
      </c>
      <c r="G321" t="inlineStr" s="4">
        <is>
          <t>api, Illuminate\Routing\Middleware\ThrottleRequests:5,1</t>
        </is>
      </c>
    </row>
    <row r="322" ht="22" customHeight="1">
      <c r="A322" t="inlineStr" s="4">
        <is>
          <t>POST</t>
        </is>
      </c>
      <c r="B322" t="inlineStr" s="4">
        <is>
          <t>api/auth/logout</t>
        </is>
      </c>
      <c r="C322" s="4"/>
      <c r="D322" t="inlineStr" s="4">
        <is>
          <t>Mobile API Auth</t>
        </is>
      </c>
      <c r="E322" t="inlineStr" s="4">
        <is>
          <t>Guest/Public</t>
        </is>
      </c>
      <c r="F322" t="inlineStr" s="4">
        <is>
          <t>App\Http\Controllers\Api\AuthController@logout</t>
        </is>
      </c>
      <c r="G322" t="inlineStr" s="4">
        <is>
          <t>api, Illuminate\Auth\Middleware\Authenticate:sanctum</t>
        </is>
      </c>
    </row>
    <row r="323" ht="22" customHeight="1">
      <c r="A323" t="inlineStr" s="4">
        <is>
          <t>GET|HEAD</t>
        </is>
      </c>
      <c r="B323" t="inlineStr" s="4">
        <is>
          <t>api/auth/me</t>
        </is>
      </c>
      <c r="C323" s="4"/>
      <c r="D323" t="inlineStr" s="4">
        <is>
          <t>Mobile API Auth</t>
        </is>
      </c>
      <c r="E323" t="inlineStr" s="4">
        <is>
          <t>Guest/Public</t>
        </is>
      </c>
      <c r="F323" t="inlineStr" s="4">
        <is>
          <t>App\Http\Controllers\Api\AuthController@me</t>
        </is>
      </c>
      <c r="G323" t="inlineStr" s="4">
        <is>
          <t>api, Illuminate\Auth\Middleware\Authenticate:sanctum</t>
        </is>
      </c>
    </row>
    <row r="324" ht="22" customHeight="1">
      <c r="A324" t="inlineStr" s="4">
        <is>
          <t>POST</t>
        </is>
      </c>
      <c r="B324" t="inlineStr" s="4">
        <is>
          <t>api/auth/otp/resend</t>
        </is>
      </c>
      <c r="C324" s="4"/>
      <c r="D324" t="inlineStr" s="4">
        <is>
          <t>Mobile API Auth</t>
        </is>
      </c>
      <c r="E324" t="inlineStr" s="4">
        <is>
          <t>Guest/Public</t>
        </is>
      </c>
      <c r="F324" t="inlineStr" s="4">
        <is>
          <t>App\Http\Controllers\Api\OtpController@resend</t>
        </is>
      </c>
      <c r="G324" t="inlineStr" s="4">
        <is>
          <t>api, Illuminate\Auth\Middleware\Authenticate:sanctum</t>
        </is>
      </c>
    </row>
    <row r="325" ht="22" customHeight="1">
      <c r="A325" t="inlineStr" s="4">
        <is>
          <t>POST</t>
        </is>
      </c>
      <c r="B325" t="inlineStr" s="4">
        <is>
          <t>api/auth/otp/verify</t>
        </is>
      </c>
      <c r="C325" s="4"/>
      <c r="D325" t="inlineStr" s="4">
        <is>
          <t>Mobile API Auth</t>
        </is>
      </c>
      <c r="E325" t="inlineStr" s="4">
        <is>
          <t>Guest/Public</t>
        </is>
      </c>
      <c r="F325" t="inlineStr" s="4">
        <is>
          <t>App\Http\Controllers\Api\OtpController@verify</t>
        </is>
      </c>
      <c r="G325" t="inlineStr" s="4">
        <is>
          <t>api, Illuminate\Auth\Middleware\Authenticate:sanctum</t>
        </is>
      </c>
    </row>
    <row r="326" ht="22" customHeight="1">
      <c r="A326" t="inlineStr" s="4">
        <is>
          <t>GET|HEAD</t>
        </is>
      </c>
      <c r="B326" t="inlineStr" s="4">
        <is>
          <t>api/auth/passkeys</t>
        </is>
      </c>
      <c r="C326" s="4"/>
      <c r="D326" t="inlineStr" s="4">
        <is>
          <t>Mobile API Auth</t>
        </is>
      </c>
      <c r="E326" t="inlineStr" s="4">
        <is>
          <t>Guest/Public</t>
        </is>
      </c>
      <c r="F326" t="inlineStr" s="4">
        <is>
          <t>App\Http\Controllers\Api\PasskeyController@index</t>
        </is>
      </c>
      <c r="G326" t="inlineStr" s="4">
        <is>
          <t>api, Illuminate\Auth\Middleware\Authenticate:sanctum</t>
        </is>
      </c>
    </row>
    <row r="327" ht="22" customHeight="1">
      <c r="A327" t="inlineStr" s="4">
        <is>
          <t>DELETE</t>
        </is>
      </c>
      <c r="B327" t="inlineStr" s="4">
        <is>
          <t>api/auth/passkeys</t>
        </is>
      </c>
      <c r="C327" s="4"/>
      <c r="D327" t="inlineStr" s="4">
        <is>
          <t>Mobile API Auth</t>
        </is>
      </c>
      <c r="E327" t="inlineStr" s="4">
        <is>
          <t>Guest/Public</t>
        </is>
      </c>
      <c r="F327" t="inlineStr" s="4">
        <is>
          <t>App\Http\Controllers\Api\PasskeyController@destroy</t>
        </is>
      </c>
      <c r="G327" t="inlineStr" s="4">
        <is>
          <t>api, Illuminate\Auth\Middleware\Authenticate:sanctum</t>
        </is>
      </c>
    </row>
    <row r="328" ht="22" customHeight="1">
      <c r="A328" t="inlineStr" s="4">
        <is>
          <t>POST</t>
        </is>
      </c>
      <c r="B328" t="inlineStr" s="4">
        <is>
          <t>api/auth/passkeys/login</t>
        </is>
      </c>
      <c r="C328" s="4"/>
      <c r="D328" t="inlineStr" s="4">
        <is>
          <t>Mobile API Auth</t>
        </is>
      </c>
      <c r="E328" t="inlineStr" s="4">
        <is>
          <t>Guest/Public</t>
        </is>
      </c>
      <c r="F328" t="inlineStr" s="4">
        <is>
          <t>App\Http\Controllers\Api\PasskeyController@login</t>
        </is>
      </c>
      <c r="G328" t="inlineStr" s="4">
        <is>
          <t>api, Illuminate\Routing\Middleware\ThrottleRequests:5,1</t>
        </is>
      </c>
    </row>
    <row r="329" ht="22" customHeight="1">
      <c r="A329" t="inlineStr" s="4">
        <is>
          <t>POST</t>
        </is>
      </c>
      <c r="B329" t="inlineStr" s="4">
        <is>
          <t>api/auth/passkeys/login/options</t>
        </is>
      </c>
      <c r="C329" s="4"/>
      <c r="D329" t="inlineStr" s="4">
        <is>
          <t>Mobile API Auth</t>
        </is>
      </c>
      <c r="E329" t="inlineStr" s="4">
        <is>
          <t>Guest/Public</t>
        </is>
      </c>
      <c r="F329" t="inlineStr" s="4">
        <is>
          <t>App\Http\Controllers\Api\PasskeyController@loginOptions</t>
        </is>
      </c>
      <c r="G329" t="inlineStr" s="4">
        <is>
          <t>api, Illuminate\Routing\Middleware\ThrottleRequests:10,1</t>
        </is>
      </c>
    </row>
    <row r="330" ht="22" customHeight="1">
      <c r="A330" t="inlineStr" s="4">
        <is>
          <t>POST</t>
        </is>
      </c>
      <c r="B330" t="inlineStr" s="4">
        <is>
          <t>api/auth/passkeys/register</t>
        </is>
      </c>
      <c r="C330" s="4"/>
      <c r="D330" t="inlineStr" s="4">
        <is>
          <t>Mobile API Auth</t>
        </is>
      </c>
      <c r="E330" t="inlineStr" s="4">
        <is>
          <t>Guest/Public</t>
        </is>
      </c>
      <c r="F330" t="inlineStr" s="4">
        <is>
          <t>App\Http\Controllers\Api\PasskeyController@register</t>
        </is>
      </c>
      <c r="G330" t="inlineStr" s="4">
        <is>
          <t>api, Illuminate\Auth\Middleware\Authenticate:sanctum, Illuminate\Routing\Middleware\ThrottleRequests:5,1</t>
        </is>
      </c>
    </row>
    <row r="331" ht="22" customHeight="1">
      <c r="A331" t="inlineStr" s="4">
        <is>
          <t>POST</t>
        </is>
      </c>
      <c r="B331" t="inlineStr" s="4">
        <is>
          <t>api/auth/passkeys/register/options</t>
        </is>
      </c>
      <c r="C331" s="4"/>
      <c r="D331" t="inlineStr" s="4">
        <is>
          <t>Mobile API Auth</t>
        </is>
      </c>
      <c r="E331" t="inlineStr" s="4">
        <is>
          <t>Guest/Public</t>
        </is>
      </c>
      <c r="F331" t="inlineStr" s="4">
        <is>
          <t>App\Http\Controllers\Api\PasskeyController@registerOptions</t>
        </is>
      </c>
      <c r="G331" t="inlineStr" s="4">
        <is>
          <t>api, Illuminate\Auth\Middleware\Authenticate:sanctum, Illuminate\Routing\Middleware\ThrottleRequests:5,1</t>
        </is>
      </c>
    </row>
    <row r="332" ht="22" customHeight="1">
      <c r="A332" t="inlineStr" s="4">
        <is>
          <t>POST</t>
        </is>
      </c>
      <c r="B332" t="inlineStr" s="4">
        <is>
          <t>api/auth/password/forgot</t>
        </is>
      </c>
      <c r="C332" s="4"/>
      <c r="D332" t="inlineStr" s="4">
        <is>
          <t>Mobile API Auth</t>
        </is>
      </c>
      <c r="E332" t="inlineStr" s="4">
        <is>
          <t>Guest/Public</t>
        </is>
      </c>
      <c r="F332" t="inlineStr" s="4">
        <is>
          <t>App\Http\Controllers\Api\PasswordResetController@requestOtp</t>
        </is>
      </c>
      <c r="G332" t="inlineStr" s="4">
        <is>
          <t>api</t>
        </is>
      </c>
    </row>
    <row r="333" ht="22" customHeight="1">
      <c r="A333" t="inlineStr" s="4">
        <is>
          <t>POST</t>
        </is>
      </c>
      <c r="B333" t="inlineStr" s="4">
        <is>
          <t>api/auth/password/reset</t>
        </is>
      </c>
      <c r="C333" s="4"/>
      <c r="D333" t="inlineStr" s="4">
        <is>
          <t>Mobile API Auth</t>
        </is>
      </c>
      <c r="E333" t="inlineStr" s="4">
        <is>
          <t>Guest/Public</t>
        </is>
      </c>
      <c r="F333" t="inlineStr" s="4">
        <is>
          <t>App\Http\Controllers\Api\PasswordResetController@reset</t>
        </is>
      </c>
      <c r="G333" t="inlineStr" s="4">
        <is>
          <t>api</t>
        </is>
      </c>
    </row>
    <row r="334" ht="22" customHeight="1">
      <c r="A334" t="inlineStr" s="4">
        <is>
          <t>POST</t>
        </is>
      </c>
      <c r="B334" t="inlineStr" s="4">
        <is>
          <t>api/auth/register</t>
        </is>
      </c>
      <c r="C334" s="4"/>
      <c r="D334" t="inlineStr" s="4">
        <is>
          <t>Mobile API Auth</t>
        </is>
      </c>
      <c r="E334" t="inlineStr" s="4">
        <is>
          <t>Guest/Public</t>
        </is>
      </c>
      <c r="F334" t="inlineStr" s="4">
        <is>
          <t>App\Http\Controllers\Api\AuthController@register</t>
        </is>
      </c>
      <c r="G334" t="inlineStr" s="4">
        <is>
          <t>api</t>
        </is>
      </c>
    </row>
    <row r="335" ht="22" customHeight="1">
      <c r="A335" t="inlineStr" s="4">
        <is>
          <t>GET|HEAD</t>
        </is>
      </c>
      <c r="B335" t="inlineStr" s="4">
        <is>
          <t>api/banners</t>
        </is>
      </c>
      <c r="C335" s="4"/>
      <c r="D335" t="inlineStr" s="4">
        <is>
          <t>Mobile/Public API</t>
        </is>
      </c>
      <c r="E335" t="inlineStr" s="4">
        <is>
          <t>Guest/Public</t>
        </is>
      </c>
      <c r="F335" t="inlineStr" s="4">
        <is>
          <t>App\Http\Controllers\Api\PublicBannerController@index</t>
        </is>
      </c>
      <c r="G335" t="inlineStr" s="4">
        <is>
          <t>api, App\Http\Middleware\CachePublicApiResponse:300</t>
        </is>
      </c>
    </row>
    <row r="336" ht="22" customHeight="1">
      <c r="A336" t="inlineStr" s="4">
        <is>
          <t>GET|HEAD</t>
        </is>
      </c>
      <c r="B336" t="inlineStr" s="4">
        <is>
          <t>api/chat/conversations</t>
        </is>
      </c>
      <c r="C336" s="4"/>
      <c r="D336" t="inlineStr" s="4">
        <is>
          <t>Mobile/Public API</t>
        </is>
      </c>
      <c r="E336" t="inlineStr" s="4">
        <is>
          <t>Guest/Public</t>
        </is>
      </c>
      <c r="F336" t="inlineStr" s="4">
        <is>
          <t>App\Http\Controllers\Api\ChatController@index</t>
        </is>
      </c>
      <c r="G336" t="inlineStr" s="4">
        <is>
          <t>api, Illuminate\Auth\Middleware\Authenticate:sanctum, Illuminate\Auth\Middleware\EnsureEmailIsVerified</t>
        </is>
      </c>
    </row>
    <row r="337" ht="22" customHeight="1">
      <c r="A337" t="inlineStr" s="4">
        <is>
          <t>GET|HEAD</t>
        </is>
      </c>
      <c r="B337" t="inlineStr" s="4">
        <is>
          <t>api/chat/conversations/{conversation}</t>
        </is>
      </c>
      <c r="C337" s="4"/>
      <c r="D337" t="inlineStr" s="4">
        <is>
          <t>Mobile/Public API</t>
        </is>
      </c>
      <c r="E337" t="inlineStr" s="4">
        <is>
          <t>Guest/Public</t>
        </is>
      </c>
      <c r="F337" t="inlineStr" s="4">
        <is>
          <t>App\Http\Controllers\Api\ChatController@show</t>
        </is>
      </c>
      <c r="G337" t="inlineStr" s="4">
        <is>
          <t>api, Illuminate\Auth\Middleware\Authenticate:sanctum, Illuminate\Auth\Middleware\EnsureEmailIsVerified</t>
        </is>
      </c>
    </row>
    <row r="338" ht="22" customHeight="1">
      <c r="A338" t="inlineStr" s="4">
        <is>
          <t>GET|HEAD</t>
        </is>
      </c>
      <c r="B338" t="inlineStr" s="4">
        <is>
          <t>api/chat/conversations/{conversation}/messages</t>
        </is>
      </c>
      <c r="C338" s="4"/>
      <c r="D338" t="inlineStr" s="4">
        <is>
          <t>Mobile/Public API</t>
        </is>
      </c>
      <c r="E338" t="inlineStr" s="4">
        <is>
          <t>Guest/Public</t>
        </is>
      </c>
      <c r="F338" t="inlineStr" s="4">
        <is>
          <t>App\Http\Controllers\Api\ChatController@messages</t>
        </is>
      </c>
      <c r="G338" t="inlineStr" s="4">
        <is>
          <t>api, Illuminate\Auth\Middleware\Authenticate:sanctum, Illuminate\Auth\Middleware\EnsureEmailIsVerified</t>
        </is>
      </c>
    </row>
    <row r="339" ht="22" customHeight="1">
      <c r="A339" t="inlineStr" s="4">
        <is>
          <t>POST</t>
        </is>
      </c>
      <c r="B339" t="inlineStr" s="4">
        <is>
          <t>api/chat/conversations/{conversation}/messages</t>
        </is>
      </c>
      <c r="C339" s="4"/>
      <c r="D339" t="inlineStr" s="4">
        <is>
          <t>Mobile/Public API</t>
        </is>
      </c>
      <c r="E339" t="inlineStr" s="4">
        <is>
          <t>Guest/Public</t>
        </is>
      </c>
      <c r="F339" t="inlineStr" s="4">
        <is>
          <t>App\Http\Controllers\Api\ChatController@store</t>
        </is>
      </c>
      <c r="G339" t="inlineStr" s="4">
        <is>
          <t>api, Illuminate\Auth\Middleware\Authenticate:sanctum, Illuminate\Auth\Middleware\EnsureEmailIsVerified</t>
        </is>
      </c>
    </row>
    <row r="340" ht="22" customHeight="1">
      <c r="A340" t="inlineStr" s="4">
        <is>
          <t>POST</t>
        </is>
      </c>
      <c r="B340" t="inlineStr" s="4">
        <is>
          <t>api/chat/conversations/{conversation}/read</t>
        </is>
      </c>
      <c r="C340" s="4"/>
      <c r="D340" t="inlineStr" s="4">
        <is>
          <t>Mobile/Public API</t>
        </is>
      </c>
      <c r="E340" t="inlineStr" s="4">
        <is>
          <t>Guest/Public</t>
        </is>
      </c>
      <c r="F340" t="inlineStr" s="4">
        <is>
          <t>App\Http\Controllers\Api\ChatController@markRead</t>
        </is>
      </c>
      <c r="G340" t="inlineStr" s="4">
        <is>
          <t>api, Illuminate\Auth\Middleware\Authenticate:sanctum, Illuminate\Auth\Middleware\EnsureEmailIsVerified</t>
        </is>
      </c>
    </row>
    <row r="341" ht="22" customHeight="1">
      <c r="A341" t="inlineStr" s="4">
        <is>
          <t>POST</t>
        </is>
      </c>
      <c r="B341" t="inlineStr" s="4">
        <is>
          <t>api/chat/start</t>
        </is>
      </c>
      <c r="C341" s="4"/>
      <c r="D341" t="inlineStr" s="4">
        <is>
          <t>Mobile/Public API</t>
        </is>
      </c>
      <c r="E341" t="inlineStr" s="4">
        <is>
          <t>Guest/Public</t>
        </is>
      </c>
      <c r="F341" t="inlineStr" s="4">
        <is>
          <t>App\Http\Controllers\Api\ChatController@start</t>
        </is>
      </c>
      <c r="G341" t="inlineStr" s="4">
        <is>
          <t>api, Illuminate\Auth\Middleware\Authenticate:sanctum, Illuminate\Auth\Middleware\EnsureEmailIsVerified</t>
        </is>
      </c>
    </row>
    <row r="342" ht="22" customHeight="1">
      <c r="A342" t="inlineStr" s="4">
        <is>
          <t>GET|HEAD</t>
        </is>
      </c>
      <c r="B342" t="inlineStr" s="4">
        <is>
          <t>api/discovery/global/suggestions</t>
        </is>
      </c>
      <c r="C342" s="4"/>
      <c r="D342" t="inlineStr" s="4">
        <is>
          <t>Mobile/Public API</t>
        </is>
      </c>
      <c r="E342" t="inlineStr" s="4">
        <is>
          <t>Guest/Public</t>
        </is>
      </c>
      <c r="F342" t="inlineStr" s="4">
        <is>
          <t>App\Http\Controllers\Api\DiscoveryController@globalSuggestions</t>
        </is>
      </c>
      <c r="G342" t="inlineStr" s="4">
        <is>
          <t>api, App\Http\Middleware\CachePublicApiResponse:120</t>
        </is>
      </c>
    </row>
    <row r="343" ht="22" customHeight="1">
      <c r="A343" t="inlineStr" s="4">
        <is>
          <t>GET|HEAD</t>
        </is>
      </c>
      <c r="B343" t="inlineStr" s="4">
        <is>
          <t>api/discovery/metadata</t>
        </is>
      </c>
      <c r="C343" s="4"/>
      <c r="D343" t="inlineStr" s="4">
        <is>
          <t>Mobile/Public API</t>
        </is>
      </c>
      <c r="E343" t="inlineStr" s="4">
        <is>
          <t>Guest/Public</t>
        </is>
      </c>
      <c r="F343" t="inlineStr" s="4">
        <is>
          <t>App\Http\Controllers\Api\DiscoveryController@metadata</t>
        </is>
      </c>
      <c r="G343" t="inlineStr" s="4">
        <is>
          <t>api, App\Http\Middleware\CachePublicApiResponse:3600</t>
        </is>
      </c>
    </row>
    <row r="344" ht="22" customHeight="1">
      <c r="A344" t="inlineStr" s="4">
        <is>
          <t>GET|HEAD</t>
        </is>
      </c>
      <c r="B344" t="inlineStr" s="4">
        <is>
          <t>api/discovery/{type}</t>
        </is>
      </c>
      <c r="C344" s="4"/>
      <c r="D344" t="inlineStr" s="4">
        <is>
          <t>Mobile/Public API</t>
        </is>
      </c>
      <c r="E344" t="inlineStr" s="4">
        <is>
          <t>Guest/Public</t>
        </is>
      </c>
      <c r="F344" t="inlineStr" s="4">
        <is>
          <t>App\Http\Controllers\Api\DiscoveryController@index</t>
        </is>
      </c>
      <c r="G344" t="inlineStr" s="4">
        <is>
          <t>api</t>
        </is>
      </c>
    </row>
    <row r="345" ht="22" customHeight="1">
      <c r="A345" t="inlineStr" s="4">
        <is>
          <t>GET|HEAD</t>
        </is>
      </c>
      <c r="B345" t="inlineStr" s="4">
        <is>
          <t>api/discovery/{type}/filters</t>
        </is>
      </c>
      <c r="C345" s="4"/>
      <c r="D345" t="inlineStr" s="4">
        <is>
          <t>Mobile/Public API</t>
        </is>
      </c>
      <c r="E345" t="inlineStr" s="4">
        <is>
          <t>Guest/Public</t>
        </is>
      </c>
      <c r="F345" t="inlineStr" s="4">
        <is>
          <t>App\Http\Controllers\Api\DiscoveryController@filters</t>
        </is>
      </c>
      <c r="G345" t="inlineStr" s="4">
        <is>
          <t>api, App\Http\Middleware\CachePublicApiResponse:300</t>
        </is>
      </c>
    </row>
    <row r="346" ht="22" customHeight="1">
      <c r="A346" t="inlineStr" s="4">
        <is>
          <t>GET|HEAD</t>
        </is>
      </c>
      <c r="B346" t="inlineStr" s="4">
        <is>
          <t>api/discovery/{type}/suggestions</t>
        </is>
      </c>
      <c r="C346" s="4"/>
      <c r="D346" t="inlineStr" s="4">
        <is>
          <t>Mobile/Public API</t>
        </is>
      </c>
      <c r="E346" t="inlineStr" s="4">
        <is>
          <t>Guest/Public</t>
        </is>
      </c>
      <c r="F346" t="inlineStr" s="4">
        <is>
          <t>App\Http\Controllers\Api\DiscoveryController@suggestions</t>
        </is>
      </c>
      <c r="G346" t="inlineStr" s="4">
        <is>
          <t>api, App\Http\Middleware\CachePublicApiResponse:120</t>
        </is>
      </c>
    </row>
    <row r="347" ht="22" customHeight="1">
      <c r="A347" t="inlineStr" s="4">
        <is>
          <t>GET|HEAD</t>
        </is>
      </c>
      <c r="B347" t="inlineStr" s="4">
        <is>
          <t>api/faqs</t>
        </is>
      </c>
      <c r="C347" s="4"/>
      <c r="D347" t="inlineStr" s="4">
        <is>
          <t>Mobile/Public API</t>
        </is>
      </c>
      <c r="E347" t="inlineStr" s="4">
        <is>
          <t>Guest/Public</t>
        </is>
      </c>
      <c r="F347" t="inlineStr" s="4">
        <is>
          <t>App\Http\Controllers\Api\PublicFaqController@index</t>
        </is>
      </c>
      <c r="G347" t="inlineStr" s="4">
        <is>
          <t>api, App\Http\Middleware\CachePublicApiResponse:300</t>
        </is>
      </c>
    </row>
    <row r="348" ht="22" customHeight="1">
      <c r="A348" t="inlineStr" s="4">
        <is>
          <t>GET|HEAD</t>
        </is>
      </c>
      <c r="B348" t="inlineStr" s="4">
        <is>
          <t>api/history</t>
        </is>
      </c>
      <c r="C348" s="4"/>
      <c r="D348" t="inlineStr" s="4">
        <is>
          <t>Mobile/Public API</t>
        </is>
      </c>
      <c r="E348" t="inlineStr" s="4">
        <is>
          <t>Guest/Public</t>
        </is>
      </c>
      <c r="F348" t="inlineStr" s="4">
        <is>
          <t>App\Http\Controllers\Api\HistoryController@index</t>
        </is>
      </c>
      <c r="G348" t="inlineStr" s="4">
        <is>
          <t>api, Illuminate\Auth\Middleware\Authenticate:sanctum, Illuminate\Auth\Middleware\EnsureEmailIsVerified</t>
        </is>
      </c>
    </row>
    <row r="349" ht="22" customHeight="1">
      <c r="A349" t="inlineStr" s="4">
        <is>
          <t>GET|HEAD</t>
        </is>
      </c>
      <c r="B349" t="inlineStr" s="4">
        <is>
          <t>api/history/{type}/{booking}</t>
        </is>
      </c>
      <c r="C349" s="4"/>
      <c r="D349" t="inlineStr" s="4">
        <is>
          <t>Mobile/Public API</t>
        </is>
      </c>
      <c r="E349" t="inlineStr" s="4">
        <is>
          <t>Guest/Public</t>
        </is>
      </c>
      <c r="F349" t="inlineStr" s="4">
        <is>
          <t>App\Http\Controllers\Api\HistoryDetailController@show</t>
        </is>
      </c>
      <c r="G349" t="inlineStr" s="4">
        <is>
          <t>api, Illuminate\Auth\Middleware\Authenticate:sanctum, Illuminate\Auth\Middleware\EnsureEmailIsVerified</t>
        </is>
      </c>
    </row>
    <row r="350" ht="22" customHeight="1">
      <c r="A350" t="inlineStr" s="4">
        <is>
          <t>POST</t>
        </is>
      </c>
      <c r="B350" t="inlineStr" s="4">
        <is>
          <t>api/mobile/errors</t>
        </is>
      </c>
      <c r="C350" s="4"/>
      <c r="D350" t="inlineStr" s="4">
        <is>
          <t>Mobile/Public API</t>
        </is>
      </c>
      <c r="E350" t="inlineStr" s="4">
        <is>
          <t>Guest/Public</t>
        </is>
      </c>
      <c r="F350" t="inlineStr" s="4">
        <is>
          <t>App\Http\Controllers\Api\MobileErrorLogController@store</t>
        </is>
      </c>
      <c r="G350" t="inlineStr" s="4">
        <is>
          <t>api, Illuminate\Routing\Middleware\ThrottleRequests:30,1</t>
        </is>
      </c>
    </row>
    <row r="351" ht="22" customHeight="1">
      <c r="A351" t="inlineStr" s="4">
        <is>
          <t>GET|HEAD</t>
        </is>
      </c>
      <c r="B351" t="inlineStr" s="4">
        <is>
          <t>api/mobile/home</t>
        </is>
      </c>
      <c r="C351" s="4"/>
      <c r="D351" t="inlineStr" s="4">
        <is>
          <t>Mobile/Public API</t>
        </is>
      </c>
      <c r="E351" t="inlineStr" s="4">
        <is>
          <t>Guest/Public</t>
        </is>
      </c>
      <c r="F351" t="inlineStr" s="4">
        <is>
          <t>App\Http\Controllers\Api\PublicBannerController@mobileHome</t>
        </is>
      </c>
      <c r="G351" t="inlineStr" s="4">
        <is>
          <t>api, App\Http\Middleware\CachePublicApiResponse:300</t>
        </is>
      </c>
    </row>
    <row r="352" ht="22" customHeight="1">
      <c r="A352" t="inlineStr" s="4">
        <is>
          <t>GET|HEAD</t>
        </is>
      </c>
      <c r="B352" t="inlineStr" s="4">
        <is>
          <t>api/notifications</t>
        </is>
      </c>
      <c r="C352" s="4"/>
      <c r="D352" t="inlineStr" s="4">
        <is>
          <t>Mobile/Public API</t>
        </is>
      </c>
      <c r="E352" t="inlineStr" s="4">
        <is>
          <t>Guest/Public</t>
        </is>
      </c>
      <c r="F352" t="inlineStr" s="4">
        <is>
          <t>App\Http\Controllers\Api\NotificationController@index</t>
        </is>
      </c>
      <c r="G352" t="inlineStr" s="4">
        <is>
          <t>api, Illuminate\Auth\Middleware\Authenticate:sanctum, Illuminate\Auth\Middleware\EnsureEmailIsVerified</t>
        </is>
      </c>
    </row>
    <row r="353" ht="22" customHeight="1">
      <c r="A353" t="inlineStr" s="4">
        <is>
          <t>POST</t>
        </is>
      </c>
      <c r="B353" t="inlineStr" s="4">
        <is>
          <t>api/notifications/read-all</t>
        </is>
      </c>
      <c r="C353" s="4"/>
      <c r="D353" t="inlineStr" s="4">
        <is>
          <t>Mobile/Public API</t>
        </is>
      </c>
      <c r="E353" t="inlineStr" s="4">
        <is>
          <t>Guest/Public</t>
        </is>
      </c>
      <c r="F353" t="inlineStr" s="4">
        <is>
          <t>App\Http\Controllers\Api\NotificationController@markAllRead</t>
        </is>
      </c>
      <c r="G353" t="inlineStr" s="4">
        <is>
          <t>api, Illuminate\Auth\Middleware\Authenticate:sanctum, Illuminate\Auth\Middleware\EnsureEmailIsVerified</t>
        </is>
      </c>
    </row>
    <row r="354" ht="22" customHeight="1">
      <c r="A354" t="inlineStr" s="4">
        <is>
          <t>GET|HEAD</t>
        </is>
      </c>
      <c r="B354" t="inlineStr" s="4">
        <is>
          <t>api/notifications/unread-count</t>
        </is>
      </c>
      <c r="C354" s="4"/>
      <c r="D354" t="inlineStr" s="4">
        <is>
          <t>Mobile/Public API</t>
        </is>
      </c>
      <c r="E354" t="inlineStr" s="4">
        <is>
          <t>Guest/Public</t>
        </is>
      </c>
      <c r="F354" t="inlineStr" s="4">
        <is>
          <t>App\Http\Controllers\Api\NotificationController@unreadCount</t>
        </is>
      </c>
      <c r="G354" t="inlineStr" s="4">
        <is>
          <t>api, Illuminate\Auth\Middleware\Authenticate:sanctum, Illuminate\Auth\Middleware\EnsureEmailIsVerified</t>
        </is>
      </c>
    </row>
    <row r="355" ht="22" customHeight="1">
      <c r="A355" t="inlineStr" s="4">
        <is>
          <t>POST</t>
        </is>
      </c>
      <c r="B355" t="inlineStr" s="4">
        <is>
          <t>api/notifications/{notification}/read</t>
        </is>
      </c>
      <c r="C355" s="4"/>
      <c r="D355" t="inlineStr" s="4">
        <is>
          <t>Mobile/Public API</t>
        </is>
      </c>
      <c r="E355" t="inlineStr" s="4">
        <is>
          <t>Guest/Public</t>
        </is>
      </c>
      <c r="F355" t="inlineStr" s="4">
        <is>
          <t>App\Http\Controllers\Api\NotificationController@markRead</t>
        </is>
      </c>
      <c r="G355" t="inlineStr" s="4">
        <is>
          <t>api, Illuminate\Auth\Middleware\Authenticate:sanctum, Illuminate\Auth\Middleware\EnsureEmailIsVerified</t>
        </is>
      </c>
    </row>
    <row r="356" ht="22" customHeight="1">
      <c r="A356" t="inlineStr" s="4">
        <is>
          <t>GET|HEAD</t>
        </is>
      </c>
      <c r="B356" t="inlineStr" s="4">
        <is>
          <t>api/privacy-policy</t>
        </is>
      </c>
      <c r="C356" s="4"/>
      <c r="D356" t="inlineStr" s="4">
        <is>
          <t>Mobile/Public API</t>
        </is>
      </c>
      <c r="E356" t="inlineStr" s="4">
        <is>
          <t>Guest/Public</t>
        </is>
      </c>
      <c r="F356" t="inlineStr" s="4">
        <is>
          <t>App\Http\Controllers\Api\PublicPrivacyPolicyController@show</t>
        </is>
      </c>
      <c r="G356" t="inlineStr" s="4">
        <is>
          <t>api, App\Http\Middleware\CachePublicApiResponse:300</t>
        </is>
      </c>
    </row>
    <row r="357" ht="22" customHeight="1">
      <c r="A357" t="inlineStr" s="4">
        <is>
          <t>GET|HEAD</t>
        </is>
      </c>
      <c r="B357" t="inlineStr" s="4">
        <is>
          <t>api/products/wisata</t>
        </is>
      </c>
      <c r="C357" s="4"/>
      <c r="D357" t="inlineStr" s="4">
        <is>
          <t>Mobile/Public API</t>
        </is>
      </c>
      <c r="E357" t="inlineStr" s="4">
        <is>
          <t>Guest/Public</t>
        </is>
      </c>
      <c r="F357" t="inlineStr" s="4">
        <is>
          <t>App\Http\Controllers\Api\WisataController@index</t>
        </is>
      </c>
      <c r="G357" t="inlineStr" s="4">
        <is>
          <t>api, App\Http\Middleware\CachePublicApiResponse:30</t>
        </is>
      </c>
    </row>
    <row r="358" ht="22" customHeight="1">
      <c r="A358" t="inlineStr" s="4">
        <is>
          <t>GET|HEAD</t>
        </is>
      </c>
      <c r="B358" t="inlineStr" s="4">
        <is>
          <t>api/products/wisata/{destination}</t>
        </is>
      </c>
      <c r="C358" s="4"/>
      <c r="D358" t="inlineStr" s="4">
        <is>
          <t>Mobile/Public API</t>
        </is>
      </c>
      <c r="E358" t="inlineStr" s="4">
        <is>
          <t>Guest/Public</t>
        </is>
      </c>
      <c r="F358" t="inlineStr" s="4">
        <is>
          <t>App\Http\Controllers\Api\WisataController@show</t>
        </is>
      </c>
      <c r="G358" t="inlineStr" s="4">
        <is>
          <t>api, App\Http\Middleware\CachePublicApiResponse:30</t>
        </is>
      </c>
    </row>
    <row r="359" ht="22" customHeight="1">
      <c r="A359" t="inlineStr" s="4">
        <is>
          <t>PUT</t>
        </is>
      </c>
      <c r="B359" t="inlineStr" s="4">
        <is>
          <t>api/profile</t>
        </is>
      </c>
      <c r="C359" s="4"/>
      <c r="D359" t="inlineStr" s="4">
        <is>
          <t>Mobile/Public API</t>
        </is>
      </c>
      <c r="E359" t="inlineStr" s="4">
        <is>
          <t>Guest/Public</t>
        </is>
      </c>
      <c r="F359" t="inlineStr" s="4">
        <is>
          <t>App\Http\Controllers\Api\ProfileController@update</t>
        </is>
      </c>
      <c r="G359" t="inlineStr" s="4">
        <is>
          <t>api, Illuminate\Auth\Middleware\Authenticate:sanctum</t>
        </is>
      </c>
    </row>
    <row r="360" ht="22" customHeight="1">
      <c r="A360" t="inlineStr" s="4">
        <is>
          <t>DELETE</t>
        </is>
      </c>
      <c r="B360" t="inlineStr" s="4">
        <is>
          <t>api/profile</t>
        </is>
      </c>
      <c r="C360" s="4"/>
      <c r="D360" t="inlineStr" s="4">
        <is>
          <t>Mobile/Public API</t>
        </is>
      </c>
      <c r="E360" t="inlineStr" s="4">
        <is>
          <t>Guest/Public</t>
        </is>
      </c>
      <c r="F360" t="inlineStr" s="4">
        <is>
          <t>App\Http\Controllers\Api\ProfileController@destroy</t>
        </is>
      </c>
      <c r="G360" t="inlineStr" s="4">
        <is>
          <t>api, Illuminate\Auth\Middleware\Authenticate:sanctum</t>
        </is>
      </c>
    </row>
    <row r="361" ht="22" customHeight="1">
      <c r="A361" t="inlineStr" s="4">
        <is>
          <t>PUT</t>
        </is>
      </c>
      <c r="B361" t="inlineStr" s="4">
        <is>
          <t>api/profile/password</t>
        </is>
      </c>
      <c r="C361" s="4"/>
      <c r="D361" t="inlineStr" s="4">
        <is>
          <t>Mobile/Public API</t>
        </is>
      </c>
      <c r="E361" t="inlineStr" s="4">
        <is>
          <t>Guest/Public</t>
        </is>
      </c>
      <c r="F361" t="inlineStr" s="4">
        <is>
          <t>App\Http\Controllers\Api\ProfileController@updatePassword</t>
        </is>
      </c>
      <c r="G361" t="inlineStr" s="4">
        <is>
          <t>api, Illuminate\Auth\Middleware\Authenticate:sanctum</t>
        </is>
      </c>
    </row>
    <row r="362" ht="22" customHeight="1">
      <c r="A362" t="inlineStr" s="4">
        <is>
          <t>POST</t>
        </is>
      </c>
      <c r="B362" t="inlineStr" s="4">
        <is>
          <t>api/profile/password/otp</t>
        </is>
      </c>
      <c r="C362" s="4"/>
      <c r="D362" t="inlineStr" s="4">
        <is>
          <t>Mobile/Public API</t>
        </is>
      </c>
      <c r="E362" t="inlineStr" s="4">
        <is>
          <t>Guest/Public</t>
        </is>
      </c>
      <c r="F362" t="inlineStr" s="4">
        <is>
          <t>App\Http\Controllers\Api\ProfileController@sendPasswordOtp</t>
        </is>
      </c>
      <c r="G362" t="inlineStr" s="4">
        <is>
          <t>api, Illuminate\Auth\Middleware\Authenticate:sanctum</t>
        </is>
      </c>
    </row>
    <row r="363" ht="22" customHeight="1">
      <c r="A363" t="inlineStr" s="4">
        <is>
          <t>GET|HEAD</t>
        </is>
      </c>
      <c r="B363" t="inlineStr" s="4">
        <is>
          <t>api/public/contact</t>
        </is>
      </c>
      <c r="C363" s="4"/>
      <c r="D363" t="inlineStr" s="4">
        <is>
          <t>Mobile/Public API</t>
        </is>
      </c>
      <c r="E363" t="inlineStr" s="4">
        <is>
          <t>Guest/Public</t>
        </is>
      </c>
      <c r="F363" t="inlineStr" s="4">
        <is>
          <t>App\Http\Controllers\Api\PublicContactController@show</t>
        </is>
      </c>
      <c r="G363" t="inlineStr" s="4">
        <is>
          <t>api, App\Http\Middleware\CachePublicApiResponse:300</t>
        </is>
      </c>
    </row>
    <row r="364" ht="22" customHeight="1">
      <c r="A364" t="inlineStr" s="4">
        <is>
          <t>POST</t>
        </is>
      </c>
      <c r="B364" t="inlineStr" s="4">
        <is>
          <t>api/push/tokens</t>
        </is>
      </c>
      <c r="C364" s="4"/>
      <c r="D364" t="inlineStr" s="4">
        <is>
          <t>Mobile/Public API</t>
        </is>
      </c>
      <c r="E364" t="inlineStr" s="4">
        <is>
          <t>Guest/Public</t>
        </is>
      </c>
      <c r="F364" t="inlineStr" s="4">
        <is>
          <t>App\Http\Controllers\Api\PushTokenController@store</t>
        </is>
      </c>
      <c r="G364" t="inlineStr" s="4">
        <is>
          <t>api, Illuminate\Auth\Middleware\Authenticate:sanctum, Illuminate\Auth\Middleware\EnsureEmailIsVerified</t>
        </is>
      </c>
    </row>
    <row r="365" ht="22" customHeight="1">
      <c r="A365" t="inlineStr" s="4">
        <is>
          <t>POST</t>
        </is>
      </c>
      <c r="B365" t="inlineStr" s="4">
        <is>
          <t>api/push/tokens/revoke</t>
        </is>
      </c>
      <c r="C365" s="4"/>
      <c r="D365" t="inlineStr" s="4">
        <is>
          <t>Mobile/Public API</t>
        </is>
      </c>
      <c r="E365" t="inlineStr" s="4">
        <is>
          <t>Guest/Public</t>
        </is>
      </c>
      <c r="F365" t="inlineStr" s="4">
        <is>
          <t>App\Http\Controllers\Api\PushTokenController@revoke</t>
        </is>
      </c>
      <c r="G365" t="inlineStr" s="4">
        <is>
          <t>api, Illuminate\Auth\Middleware\Authenticate:sanctum, Illuminate\Auth\Middleware\EnsureEmailIsVerified</t>
        </is>
      </c>
    </row>
    <row r="366" ht="22" customHeight="1">
      <c r="A366" t="inlineStr" s="4">
        <is>
          <t>GET|HEAD</t>
        </is>
      </c>
      <c r="B366" t="inlineStr" s="4">
        <is>
          <t>api/reviews</t>
        </is>
      </c>
      <c r="C366" s="4"/>
      <c r="D366" t="inlineStr" s="4">
        <is>
          <t>Mobile/Public API</t>
        </is>
      </c>
      <c r="E366" t="inlineStr" s="4">
        <is>
          <t>Guest/Public</t>
        </is>
      </c>
      <c r="F366" t="inlineStr" s="4">
        <is>
          <t>App\Http\Controllers\Api\ReviewController@index</t>
        </is>
      </c>
      <c r="G366" t="inlineStr" s="4">
        <is>
          <t>api, Illuminate\Auth\Middleware\Authenticate:sanctum, Illuminate\Auth\Middleware\EnsureEmailIsVerified</t>
        </is>
      </c>
    </row>
    <row r="367" ht="22" customHeight="1">
      <c r="A367" t="inlineStr" s="4">
        <is>
          <t>POST</t>
        </is>
      </c>
      <c r="B367" t="inlineStr" s="4">
        <is>
          <t>api/reviews</t>
        </is>
      </c>
      <c r="C367" s="4"/>
      <c r="D367" t="inlineStr" s="4">
        <is>
          <t>Mobile/Public API</t>
        </is>
      </c>
      <c r="E367" t="inlineStr" s="4">
        <is>
          <t>Guest/Public</t>
        </is>
      </c>
      <c r="F367" t="inlineStr" s="4">
        <is>
          <t>App\Http\Controllers\Api\ReviewController@store</t>
        </is>
      </c>
      <c r="G367" t="inlineStr" s="4">
        <is>
          <t>api, Illuminate\Auth\Middleware\Authenticate:sanctum, Illuminate\Auth\Middleware\EnsureEmailIsVerified</t>
        </is>
      </c>
    </row>
    <row r="368" ht="22" customHeight="1">
      <c r="A368" t="inlineStr" s="4">
        <is>
          <t>POST</t>
        </is>
      </c>
      <c r="B368" t="inlineStr" s="4">
        <is>
          <t>api/wisata/bookings</t>
        </is>
      </c>
      <c r="C368" s="4"/>
      <c r="D368" t="inlineStr" s="4">
        <is>
          <t>Mobile API Wisata</t>
        </is>
      </c>
      <c r="E368" t="inlineStr" s="4">
        <is>
          <t>Guest/Public</t>
        </is>
      </c>
      <c r="F368" t="inlineStr" s="4">
        <is>
          <t>App\Http\Controllers\Api\WisataBookingController@store</t>
        </is>
      </c>
      <c r="G368" t="inlineStr" s="4">
        <is>
          <t>api, Illuminate\Auth\Middleware\Authenticate:sanctum, Illuminate\Auth\Middleware\EnsureEmailIsVerified, App\Http\Middleware\EnsureTransactionsAvailable</t>
        </is>
      </c>
    </row>
    <row r="369" ht="22" customHeight="1">
      <c r="A369" t="inlineStr" s="4">
        <is>
          <t>GET|HEAD</t>
        </is>
      </c>
      <c r="B369" t="inlineStr" s="4">
        <is>
          <t>api/wisata/bookings</t>
        </is>
      </c>
      <c r="C369" s="4"/>
      <c r="D369" t="inlineStr" s="4">
        <is>
          <t>Mobile API Wisata</t>
        </is>
      </c>
      <c r="E369" t="inlineStr" s="4">
        <is>
          <t>Guest/Public</t>
        </is>
      </c>
      <c r="F369" t="inlineStr" s="4">
        <is>
          <t>App\Http\Controllers\Api\WisataBookingController@index</t>
        </is>
      </c>
      <c r="G369" t="inlineStr" s="4">
        <is>
          <t>api, Illuminate\Auth\Middleware\Authenticate:sanctum, Illuminate\Auth\Middleware\EnsureEmailIsVerified</t>
        </is>
      </c>
    </row>
    <row r="370" ht="22" customHeight="1">
      <c r="A370" t="inlineStr" s="4">
        <is>
          <t>POST</t>
        </is>
      </c>
      <c r="B370" t="inlineStr" s="4">
        <is>
          <t>api/wisata/bookings/quote</t>
        </is>
      </c>
      <c r="C370" s="4"/>
      <c r="D370" t="inlineStr" s="4">
        <is>
          <t>Mobile API Wisata</t>
        </is>
      </c>
      <c r="E370" t="inlineStr" s="4">
        <is>
          <t>Guest/Public</t>
        </is>
      </c>
      <c r="F370" t="inlineStr" s="4">
        <is>
          <t>App\Http\Controllers\Api\WisataBookingController@quote</t>
        </is>
      </c>
      <c r="G370" t="inlineStr" s="4">
        <is>
          <t>api, Illuminate\Auth\Middleware\Authenticate:sanctum, Illuminate\Auth\Middleware\EnsureEmailIsVerified, App\Http\Middleware\EnsureTransactionsAvailable</t>
        </is>
      </c>
    </row>
    <row r="371" ht="22" customHeight="1">
      <c r="A371" t="inlineStr" s="4">
        <is>
          <t>GET|HEAD</t>
        </is>
      </c>
      <c r="B371" t="inlineStr" s="4">
        <is>
          <t>api/wisata/bookings/{booking}</t>
        </is>
      </c>
      <c r="C371" s="4"/>
      <c r="D371" t="inlineStr" s="4">
        <is>
          <t>Mobile API Wisata</t>
        </is>
      </c>
      <c r="E371" t="inlineStr" s="4">
        <is>
          <t>Guest/Public</t>
        </is>
      </c>
      <c r="F371" t="inlineStr" s="4">
        <is>
          <t>App\Http\Controllers\Api\WisataBookingController@show</t>
        </is>
      </c>
      <c r="G371" t="inlineStr" s="4">
        <is>
          <t>api, Illuminate\Auth\Middleware\Authenticate:sanctum, Illuminate\Auth\Middleware\EnsureEmailIsVerified</t>
        </is>
      </c>
    </row>
    <row r="372" ht="22" customHeight="1">
      <c r="A372" t="inlineStr" s="4">
        <is>
          <t>POST</t>
        </is>
      </c>
      <c r="B372" t="inlineStr" s="4">
        <is>
          <t>api/wisata/bookings/{booking}/cancel</t>
        </is>
      </c>
      <c r="C372" s="4"/>
      <c r="D372" t="inlineStr" s="4">
        <is>
          <t>Mobile API Wisata</t>
        </is>
      </c>
      <c r="E372" t="inlineStr" s="4">
        <is>
          <t>Guest/Public</t>
        </is>
      </c>
      <c r="F372" t="inlineStr" s="4">
        <is>
          <t>App\Http\Controllers\Api\WisataBookingController@cancel</t>
        </is>
      </c>
      <c r="G372" t="inlineStr" s="4">
        <is>
          <t>api, Illuminate\Auth\Middleware\Authenticate:sanctum, Illuminate\Auth\Middleware\EnsureEmailIsVerified</t>
        </is>
      </c>
    </row>
    <row r="373" ht="22" customHeight="1">
      <c r="A373" t="inlineStr" s="4">
        <is>
          <t>POST</t>
        </is>
      </c>
      <c r="B373" t="inlineStr" s="4">
        <is>
          <t>api/wisata/bookings/{booking}/pay</t>
        </is>
      </c>
      <c r="C373" s="4"/>
      <c r="D373" t="inlineStr" s="4">
        <is>
          <t>Mobile API Wisata</t>
        </is>
      </c>
      <c r="E373" t="inlineStr" s="4">
        <is>
          <t>Guest/Public</t>
        </is>
      </c>
      <c r="F373" t="inlineStr" s="4">
        <is>
          <t>App\Http\Controllers\Api\WisataBookingController@pay</t>
        </is>
      </c>
      <c r="G373" t="inlineStr" s="4">
        <is>
          <t>api, Illuminate\Auth\Middleware\Authenticate:sanctum, Illuminate\Auth\Middleware\EnsureEmailIsVerified, App\Http\Middleware\EnsureTransactionsAvailable</t>
        </is>
      </c>
    </row>
    <row r="374" ht="22" customHeight="1">
      <c r="A374" t="inlineStr" s="4">
        <is>
          <t>GET|HEAD</t>
        </is>
      </c>
      <c r="B374" t="inlineStr" s="4">
        <is>
          <t>api/wisata/bookings/{booking}/ticket</t>
        </is>
      </c>
      <c r="C374" s="4"/>
      <c r="D374" t="inlineStr" s="4">
        <is>
          <t>Mobile API Wisata</t>
        </is>
      </c>
      <c r="E374" t="inlineStr" s="4">
        <is>
          <t>Guest/Public</t>
        </is>
      </c>
      <c r="F374" t="inlineStr" s="4">
        <is>
          <t>App\Http\Controllers\Api\WisataBookingController@ticket</t>
        </is>
      </c>
      <c r="G374" t="inlineStr" s="4">
        <is>
          <t>api, Illuminate\Auth\Middleware\Authenticate:sanctum, Illuminate\Auth\Middleware\EnsureEmailIsVerified</t>
        </is>
      </c>
    </row>
    <row r="375" ht="22" customHeight="1">
      <c r="A375" t="inlineStr" s="4">
        <is>
          <t>GET|HEAD</t>
        </is>
      </c>
      <c r="B375" t="inlineStr" s="4">
        <is>
          <t>api/wisata/ticket-scans/lookup</t>
        </is>
      </c>
      <c r="C375" s="4"/>
      <c r="D375" t="inlineStr" s="4">
        <is>
          <t>Mobile API Wisata</t>
        </is>
      </c>
      <c r="E375" t="inlineStr" s="4">
        <is>
          <t>Guest/Public</t>
        </is>
      </c>
      <c r="F375" t="inlineStr" s="4">
        <is>
          <t>App\Http\Controllers\Api\WisataTicketScanController@lookup</t>
        </is>
      </c>
      <c r="G375" t="inlineStr" s="4">
        <is>
          <t>api, Illuminate\Auth\Middleware\Authenticate:sanctum, Illuminate\Auth\Middleware\EnsureEmailIsVerified</t>
        </is>
      </c>
    </row>
    <row r="376" ht="22" customHeight="1">
      <c r="A376" t="inlineStr" s="4">
        <is>
          <t>POST</t>
        </is>
      </c>
      <c r="B376" t="inlineStr" s="4">
        <is>
          <t>api/wisata/ticket-scans/use</t>
        </is>
      </c>
      <c r="C376" s="4"/>
      <c r="D376" t="inlineStr" s="4">
        <is>
          <t>Mobile API Wisata</t>
        </is>
      </c>
      <c r="E376" t="inlineStr" s="4">
        <is>
          <t>Guest/Public</t>
        </is>
      </c>
      <c r="F376" t="inlineStr" s="4">
        <is>
          <t>App\Http\Controllers\Api\WisataTicketScanController@use</t>
        </is>
      </c>
      <c r="G376" t="inlineStr" s="4">
        <is>
          <t>api, Illuminate\Auth\Middleware\Authenticate:sanctum, Illuminate\Auth\Middleware\EnsureEmailIsVerified</t>
        </is>
      </c>
    </row>
    <row r="377" ht="22" customHeight="1">
      <c r="A377" t="inlineStr" s="4">
        <is>
          <t>GET|HEAD</t>
        </is>
      </c>
      <c r="B377" t="inlineStr" s="4">
        <is>
          <t>auth/google/callback</t>
        </is>
      </c>
      <c r="C377" t="inlineStr" s="4">
        <is>
          <t>auth.google.callback</t>
        </is>
      </c>
      <c r="D377" t="inlineStr" s="4">
        <is>
          <t>Other / Legacy / Shared</t>
        </is>
      </c>
      <c r="E377" t="inlineStr" s="4">
        <is>
          <t>Guest/Public</t>
        </is>
      </c>
      <c r="F377" t="inlineStr" s="4">
        <is>
          <t>App\Http\Controllers\Auth\SocialAuthController@callback</t>
        </is>
      </c>
      <c r="G377" t="inlineStr" s="4">
        <is>
          <t>web</t>
        </is>
      </c>
    </row>
    <row r="378" ht="22" customHeight="1">
      <c r="A378" t="inlineStr" s="4">
        <is>
          <t>GET|HEAD</t>
        </is>
      </c>
      <c r="B378" t="inlineStr" s="4">
        <is>
          <t>auth/google/redirect</t>
        </is>
      </c>
      <c r="C378" t="inlineStr" s="4">
        <is>
          <t>auth.google.redirect</t>
        </is>
      </c>
      <c r="D378" t="inlineStr" s="4">
        <is>
          <t>Other / Legacy / Shared</t>
        </is>
      </c>
      <c r="E378" t="inlineStr" s="4">
        <is>
          <t>Guest/Public</t>
        </is>
      </c>
      <c r="F378" t="inlineStr" s="4">
        <is>
          <t>App\Http\Controllers\Auth\SocialAuthController@redirect</t>
        </is>
      </c>
      <c r="G378" t="inlineStr" s="4">
        <is>
          <t>web</t>
        </is>
      </c>
    </row>
    <row r="379" ht="22" customHeight="1">
      <c r="A379" t="inlineStr" s="4">
        <is>
          <t>POST</t>
        </is>
      </c>
      <c r="B379" t="inlineStr" s="4">
        <is>
          <t>booking/confirm</t>
        </is>
      </c>
      <c r="C379" t="inlineStr" s="4">
        <is>
          <t>booking.confirm</t>
        </is>
      </c>
      <c r="D379" t="inlineStr" s="4">
        <is>
          <t>Other / Legacy / Shared</t>
        </is>
      </c>
      <c r="E379" t="inlineStr" s="4">
        <is>
          <t>Guest/Public</t>
        </is>
      </c>
      <c r="F379" t="inlineStr" s="4">
        <is>
          <t>App\Http\Controllers\BookingController@confirm</t>
        </is>
      </c>
      <c r="G379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380" ht="22" customHeight="1">
      <c r="A380" t="inlineStr" s="4">
        <is>
          <t>POST</t>
        </is>
      </c>
      <c r="B380" t="inlineStr" s="4">
        <is>
          <t>booking/prepare</t>
        </is>
      </c>
      <c r="C380" t="inlineStr" s="4">
        <is>
          <t>booking.prepare</t>
        </is>
      </c>
      <c r="D380" t="inlineStr" s="4">
        <is>
          <t>Other / Legacy / Shared</t>
        </is>
      </c>
      <c r="E380" t="inlineStr" s="4">
        <is>
          <t>Guest/Public</t>
        </is>
      </c>
      <c r="F380" t="inlineStr" s="4">
        <is>
          <t>App\Http\Controllers\BookingController@prepare</t>
        </is>
      </c>
      <c r="G380" t="inlineStr" s="4">
        <is>
          <t>web, App\Http\Middleware\EnsureTransactionsAvailable</t>
        </is>
      </c>
    </row>
    <row r="381" ht="22" customHeight="1">
      <c r="A381" t="inlineStr" s="4">
        <is>
          <t>GET|HEAD</t>
        </is>
      </c>
      <c r="B381" t="inlineStr" s="4">
        <is>
          <t>booking/review</t>
        </is>
      </c>
      <c r="C381" t="inlineStr" s="4">
        <is>
          <t>booking.review</t>
        </is>
      </c>
      <c r="D381" t="inlineStr" s="4">
        <is>
          <t>Other / Legacy / Shared</t>
        </is>
      </c>
      <c r="E381" t="inlineStr" s="4">
        <is>
          <t>Guest/Public</t>
        </is>
      </c>
      <c r="F381" t="inlineStr" s="4">
        <is>
          <t>App\Http\Controllers\BookingController@review</t>
        </is>
      </c>
      <c r="G381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382" ht="22" customHeight="1">
      <c r="A382" t="inlineStr" s="4">
        <is>
          <t>POST</t>
        </is>
      </c>
      <c r="B382" t="inlineStr" s="4">
        <is>
          <t>booking/voucher</t>
        </is>
      </c>
      <c r="C382" t="inlineStr" s="4">
        <is>
          <t>booking.voucher.apply</t>
        </is>
      </c>
      <c r="D382" t="inlineStr" s="4">
        <is>
          <t>Other / Legacy / Shared</t>
        </is>
      </c>
      <c r="E382" t="inlineStr" s="4">
        <is>
          <t>Guest/Public</t>
        </is>
      </c>
      <c r="F382" t="inlineStr" s="4">
        <is>
          <t>App\Http\Controllers\BookingController@applyVoucher</t>
        </is>
      </c>
      <c r="G382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383" ht="22" customHeight="1">
      <c r="A383" t="inlineStr" s="4">
        <is>
          <t>POST</t>
        </is>
      </c>
      <c r="B383" t="inlineStr" s="4">
        <is>
          <t>booking/voucher/remove</t>
        </is>
      </c>
      <c r="C383" t="inlineStr" s="4">
        <is>
          <t>booking.voucher.remove</t>
        </is>
      </c>
      <c r="D383" t="inlineStr" s="4">
        <is>
          <t>Other / Legacy / Shared</t>
        </is>
      </c>
      <c r="E383" t="inlineStr" s="4">
        <is>
          <t>Guest/Public</t>
        </is>
      </c>
      <c r="F383" t="inlineStr" s="4">
        <is>
          <t>App\Http\Controllers\BookingController@removeVoucher</t>
        </is>
      </c>
      <c r="G383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384" ht="22" customHeight="1">
      <c r="A384" t="inlineStr" s="4">
        <is>
          <t>GET|HEAD</t>
        </is>
      </c>
      <c r="B384" t="inlineStr" s="4">
        <is>
          <t>booking/{booking}</t>
        </is>
      </c>
      <c r="C384" t="inlineStr" s="4">
        <is>
          <t>booking.show</t>
        </is>
      </c>
      <c r="D384" t="inlineStr" s="4">
        <is>
          <t>Other / Legacy / Shared</t>
        </is>
      </c>
      <c r="E384" t="inlineStr" s="4">
        <is>
          <t>Guest/Public</t>
        </is>
      </c>
      <c r="F384" t="inlineStr" s="4">
        <is>
          <t>App\Http\Controllers\BookingController@show</t>
        </is>
      </c>
      <c r="G384" t="inlineStr" s="4">
        <is>
          <t>web, Illuminate\Auth\Middleware\Authenticate, Illuminate\Auth\Middleware\EnsureEmailIsVerified, App\Http\Middleware\EnsureUser, App\Http\Middleware\LogUserActivity</t>
        </is>
      </c>
    </row>
    <row r="385" ht="22" customHeight="1">
      <c r="A385" t="inlineStr" s="4">
        <is>
          <t>POST</t>
        </is>
      </c>
      <c r="B385" t="inlineStr" s="4">
        <is>
          <t>booking/{booking}/cancel</t>
        </is>
      </c>
      <c r="C385" t="inlineStr" s="4">
        <is>
          <t>booking.cancel</t>
        </is>
      </c>
      <c r="D385" t="inlineStr" s="4">
        <is>
          <t>Other / Legacy / Shared</t>
        </is>
      </c>
      <c r="E385" t="inlineStr" s="4">
        <is>
          <t>Guest/Public</t>
        </is>
      </c>
      <c r="F385" t="inlineStr" s="4">
        <is>
          <t>App\Http\Controllers\BookingController@cancel</t>
        </is>
      </c>
      <c r="G385" t="inlineStr" s="4">
        <is>
          <t>web, Illuminate\Auth\Middleware\Authenticate, Illuminate\Auth\Middleware\EnsureEmailIsVerified, App\Http\Middleware\EnsureUser, App\Http\Middleware\LogUserActivity</t>
        </is>
      </c>
    </row>
    <row r="386" ht="22" customHeight="1">
      <c r="A386" t="inlineStr" s="4">
        <is>
          <t>GET|HEAD</t>
        </is>
      </c>
      <c r="B386" t="inlineStr" s="4">
        <is>
          <t>booking/{booking}/invoice</t>
        </is>
      </c>
      <c r="C386" t="inlineStr" s="4">
        <is>
          <t>booking.invoice</t>
        </is>
      </c>
      <c r="D386" t="inlineStr" s="4">
        <is>
          <t>Other / Legacy / Shared</t>
        </is>
      </c>
      <c r="E386" t="inlineStr" s="4">
        <is>
          <t>Guest/Public</t>
        </is>
      </c>
      <c r="F386" t="inlineStr" s="4">
        <is>
          <t>App\Http\Controllers\BookingController@invoice</t>
        </is>
      </c>
      <c r="G386" t="inlineStr" s="4">
        <is>
          <t>web, Illuminate\Auth\Middleware\Authenticate, Illuminate\Auth\Middleware\EnsureEmailIsVerified, App\Http\Middleware\EnsureUser, App\Http\Middleware\LogUserActivity</t>
        </is>
      </c>
    </row>
    <row r="387" ht="22" customHeight="1">
      <c r="A387" t="inlineStr" s="4">
        <is>
          <t>GET|HEAD</t>
        </is>
      </c>
      <c r="B387" t="inlineStr" s="4">
        <is>
          <t>booking/{booking}/payment</t>
        </is>
      </c>
      <c r="C387" t="inlineStr" s="4">
        <is>
          <t>booking.payment</t>
        </is>
      </c>
      <c r="D387" t="inlineStr" s="4">
        <is>
          <t>Other / Legacy / Shared</t>
        </is>
      </c>
      <c r="E387" t="inlineStr" s="4">
        <is>
          <t>Guest/Public</t>
        </is>
      </c>
      <c r="F387" t="inlineStr" s="4">
        <is>
          <t>App\Http\Controllers\BookingController@payment</t>
        </is>
      </c>
      <c r="G387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388" ht="22" customHeight="1">
      <c r="A388" t="inlineStr" s="4">
        <is>
          <t>POST</t>
        </is>
      </c>
      <c r="B388" t="inlineStr" s="4">
        <is>
          <t>booking/{booking}/payment</t>
        </is>
      </c>
      <c r="C388" t="inlineStr" s="4">
        <is>
          <t>booking.pay</t>
        </is>
      </c>
      <c r="D388" t="inlineStr" s="4">
        <is>
          <t>Other / Legacy / Shared</t>
        </is>
      </c>
      <c r="E388" t="inlineStr" s="4">
        <is>
          <t>Guest/Public</t>
        </is>
      </c>
      <c r="F388" t="inlineStr" s="4">
        <is>
          <t>App\Http\Controllers\BookingController@pay</t>
        </is>
      </c>
      <c r="G388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389" ht="22" customHeight="1">
      <c r="A389" t="inlineStr" s="4">
        <is>
          <t>GET|POST|HEAD</t>
        </is>
      </c>
      <c r="B389" t="inlineStr" s="4">
        <is>
          <t>broadcasting/auth</t>
        </is>
      </c>
      <c r="C389" s="4"/>
      <c r="D389" t="inlineStr" s="4">
        <is>
          <t>Other / Legacy / Shared</t>
        </is>
      </c>
      <c r="E389" t="inlineStr" s="4">
        <is>
          <t>Guest/Public</t>
        </is>
      </c>
      <c r="F389" t="inlineStr" s="4">
        <is>
          <t>Illuminate\Broadcasting\BroadcastController@authenticate</t>
        </is>
      </c>
      <c r="G389" t="inlineStr" s="4">
        <is>
          <t>web, Illuminate\Auth\Middleware\Authenticate</t>
        </is>
      </c>
    </row>
    <row r="390" ht="22" customHeight="1">
      <c r="A390" t="inlineStr" s="4">
        <is>
          <t>GET|HEAD</t>
        </is>
      </c>
      <c r="B390" t="inlineStr" s="4">
        <is>
          <t>chat</t>
        </is>
      </c>
      <c r="C390" t="inlineStr" s="4">
        <is>
          <t>chat.index</t>
        </is>
      </c>
      <c r="D390" t="inlineStr" s="4">
        <is>
          <t>Other / Legacy / Shared</t>
        </is>
      </c>
      <c r="E390" t="inlineStr" s="4">
        <is>
          <t>Guest/Public</t>
        </is>
      </c>
      <c r="F390" t="inlineStr" s="4">
        <is>
          <t>App\Http\Controllers\ChatController@index</t>
        </is>
      </c>
      <c r="G390" t="inlineStr" s="4">
        <is>
          <t>web, Illuminate\Auth\Middleware\Authenticate, Illuminate\Auth\Middleware\EnsureEmailIsVerified, App\Http\Middleware\EnsureUser, App\Http\Middleware\LogUserActivity</t>
        </is>
      </c>
    </row>
    <row r="391" ht="22" customHeight="1">
      <c r="A391" t="inlineStr" s="4">
        <is>
          <t>GET|HEAD</t>
        </is>
      </c>
      <c r="B391" t="inlineStr" s="4">
        <is>
          <t>chat/start/{type}/{id?}</t>
        </is>
      </c>
      <c r="C391" t="inlineStr" s="4">
        <is>
          <t>chat.start</t>
        </is>
      </c>
      <c r="D391" t="inlineStr" s="4">
        <is>
          <t>Other / Legacy / Shared</t>
        </is>
      </c>
      <c r="E391" t="inlineStr" s="4">
        <is>
          <t>Guest/Public</t>
        </is>
      </c>
      <c r="F391" t="inlineStr" s="4">
        <is>
          <t>App\Http\Controllers\ChatController@start</t>
        </is>
      </c>
      <c r="G391" t="inlineStr" s="4">
        <is>
          <t>web, Illuminate\Auth\Middleware\Authenticate, Illuminate\Auth\Middleware\EnsureEmailIsVerified, App\Http\Middleware\EnsureUser, App\Http\Middleware\LogUserActivity</t>
        </is>
      </c>
    </row>
    <row r="392" ht="22" customHeight="1">
      <c r="A392" t="inlineStr" s="4">
        <is>
          <t>GET|HEAD</t>
        </is>
      </c>
      <c r="B392" t="inlineStr" s="4">
        <is>
          <t>chat/{conversation}</t>
        </is>
      </c>
      <c r="C392" t="inlineStr" s="4">
        <is>
          <t>chat.show</t>
        </is>
      </c>
      <c r="D392" t="inlineStr" s="4">
        <is>
          <t>Other / Legacy / Shared</t>
        </is>
      </c>
      <c r="E392" t="inlineStr" s="4">
        <is>
          <t>Guest/Public</t>
        </is>
      </c>
      <c r="F392" t="inlineStr" s="4">
        <is>
          <t>App\Http\Controllers\ChatController@show</t>
        </is>
      </c>
      <c r="G392" t="inlineStr" s="4">
        <is>
          <t>web, Illuminate\Auth\Middleware\Authenticate, Illuminate\Auth\Middleware\EnsureEmailIsVerified, App\Http\Middleware\EnsureUser, App\Http\Middleware\LogUserActivity</t>
        </is>
      </c>
    </row>
    <row r="393" ht="22" customHeight="1">
      <c r="A393" t="inlineStr" s="4">
        <is>
          <t>POST</t>
        </is>
      </c>
      <c r="B393" t="inlineStr" s="4">
        <is>
          <t>chat/{conversation}/messages</t>
        </is>
      </c>
      <c r="C393" t="inlineStr" s="4">
        <is>
          <t>chat.messages.store</t>
        </is>
      </c>
      <c r="D393" t="inlineStr" s="4">
        <is>
          <t>Other / Legacy / Shared</t>
        </is>
      </c>
      <c r="E393" t="inlineStr" s="4">
        <is>
          <t>Guest/Public</t>
        </is>
      </c>
      <c r="F393" t="inlineStr" s="4">
        <is>
          <t>App\Http\Controllers\ChatController@store</t>
        </is>
      </c>
      <c r="G393" t="inlineStr" s="4">
        <is>
          <t>web, Illuminate\Auth\Middleware\Authenticate, Illuminate\Auth\Middleware\EnsureEmailIsVerified, App\Http\Middleware\EnsureUser, App\Http\Middleware\LogUserActivity</t>
        </is>
      </c>
    </row>
    <row r="394" ht="22" customHeight="1">
      <c r="A394" t="inlineStr" s="4">
        <is>
          <t>GET|HEAD</t>
        </is>
      </c>
      <c r="B394" t="inlineStr" s="4">
        <is>
          <t>dashboard</t>
        </is>
      </c>
      <c r="C394" t="inlineStr" s="4">
        <is>
          <t>dashboard</t>
        </is>
      </c>
      <c r="D394" t="inlineStr" s="4">
        <is>
          <t>Other / Legacy / Shared</t>
        </is>
      </c>
      <c r="E394" t="inlineStr" s="4">
        <is>
          <t>Admin</t>
        </is>
      </c>
      <c r="F394" t="inlineStr" s="4">
        <is>
          <t>App\Http\Controllers\Admin\DashboardController@index</t>
        </is>
      </c>
      <c r="G394" t="inlineStr" s="4">
        <is>
          <t>web, Illuminate\Auth\Middleware\Authenticate, Illuminate\Auth\Middleware\EnsureEmailIsVerified, App\Http\Middleware\EnsureAdmin</t>
        </is>
      </c>
    </row>
    <row r="395" ht="22" customHeight="1">
      <c r="A395" t="inlineStr" s="4">
        <is>
          <t>GET|HEAD</t>
        </is>
      </c>
      <c r="B395" t="inlineStr" s="4">
        <is>
          <t>delete-account</t>
        </is>
      </c>
      <c r="C395" t="inlineStr" s="4">
        <is>
          <t>public.delete-account</t>
        </is>
      </c>
      <c r="D395" t="inlineStr" s="4">
        <is>
          <t>Other / Legacy / Shared</t>
        </is>
      </c>
      <c r="E395" t="inlineStr" s="4">
        <is>
          <t>Guest/Public</t>
        </is>
      </c>
      <c r="F395" t="inlineStr" s="4">
        <is>
          <t>App\Http\Controllers\PublicDeleteAccountController@show</t>
        </is>
      </c>
      <c r="G395" t="inlineStr" s="4">
        <is>
          <t>web</t>
        </is>
      </c>
    </row>
    <row r="396" ht="22" customHeight="1">
      <c r="A396" t="inlineStr" s="4">
        <is>
          <t>GET|HEAD</t>
        </is>
      </c>
      <c r="B396" t="inlineStr" s="4">
        <is>
          <t>docs/api</t>
        </is>
      </c>
      <c r="C396" t="inlineStr" s="4">
        <is>
          <t>scramble.docs.ui</t>
        </is>
      </c>
      <c r="D396" t="inlineStr" s="4">
        <is>
          <t>Other / Legacy / Shared</t>
        </is>
      </c>
      <c r="E396" t="inlineStr" s="4">
        <is>
          <t>Guest/Public</t>
        </is>
      </c>
      <c r="F396" t="inlineStr" s="4">
        <is>
          <t>Closure</t>
        </is>
      </c>
      <c r="G396" t="inlineStr" s="4">
        <is>
          <t>web, Dedoc\Scramble\Http\Middleware\RestrictedDocsAccess</t>
        </is>
      </c>
    </row>
    <row r="397" ht="22" customHeight="1">
      <c r="A397" t="inlineStr" s="4">
        <is>
          <t>GET|HEAD</t>
        </is>
      </c>
      <c r="B397" t="inlineStr" s="4">
        <is>
          <t>docs/api.json</t>
        </is>
      </c>
      <c r="C397" t="inlineStr" s="4">
        <is>
          <t>scramble.docs.document</t>
        </is>
      </c>
      <c r="D397" t="inlineStr" s="4">
        <is>
          <t>Other / Legacy / Shared</t>
        </is>
      </c>
      <c r="E397" t="inlineStr" s="4">
        <is>
          <t>Guest/Public</t>
        </is>
      </c>
      <c r="F397" t="inlineStr" s="4">
        <is>
          <t>Closure</t>
        </is>
      </c>
      <c r="G397" t="inlineStr" s="4">
        <is>
          <t>web, Dedoc\Scramble\Http\Middleware\RestrictedDocsAccess</t>
        </is>
      </c>
    </row>
    <row r="398" ht="22" customHeight="1">
      <c r="A398" t="inlineStr" s="4">
        <is>
          <t>GET|HEAD</t>
        </is>
      </c>
      <c r="B398" t="inlineStr" s="4">
        <is>
          <t>email/otp</t>
        </is>
      </c>
      <c r="C398" t="inlineStr" s="4">
        <is>
          <t>email-otp.notice</t>
        </is>
      </c>
      <c r="D398" t="inlineStr" s="4">
        <is>
          <t>Authentication</t>
        </is>
      </c>
      <c r="E398" t="inlineStr" s="4">
        <is>
          <t>Guest/Public</t>
        </is>
      </c>
      <c r="F398" t="inlineStr" s="4">
        <is>
          <t>Closure</t>
        </is>
      </c>
      <c r="G398" t="inlineStr" s="4">
        <is>
          <t>web, Illuminate\Auth\Middleware\Authenticate, App\Http\Middleware\LogUserActivity</t>
        </is>
      </c>
    </row>
    <row r="399" ht="22" customHeight="1">
      <c r="A399" t="inlineStr" s="4">
        <is>
          <t>POST</t>
        </is>
      </c>
      <c r="B399" t="inlineStr" s="4">
        <is>
          <t>email/otp</t>
        </is>
      </c>
      <c r="C399" t="inlineStr" s="4">
        <is>
          <t>email-otp.verify</t>
        </is>
      </c>
      <c r="D399" t="inlineStr" s="4">
        <is>
          <t>Authentication</t>
        </is>
      </c>
      <c r="E399" t="inlineStr" s="4">
        <is>
          <t>Guest/Public</t>
        </is>
      </c>
      <c r="F399" t="inlineStr" s="4">
        <is>
          <t>Closure</t>
        </is>
      </c>
      <c r="G399" t="inlineStr" s="4">
        <is>
          <t>web, Illuminate\Auth\Middleware\Authenticate, App\Http\Middleware\LogUserActivity</t>
        </is>
      </c>
    </row>
    <row r="400" ht="22" customHeight="1">
      <c r="A400" t="inlineStr" s="4">
        <is>
          <t>POST</t>
        </is>
      </c>
      <c r="B400" t="inlineStr" s="4">
        <is>
          <t>email/otp/resend</t>
        </is>
      </c>
      <c r="C400" t="inlineStr" s="4">
        <is>
          <t>email-otp.resend</t>
        </is>
      </c>
      <c r="D400" t="inlineStr" s="4">
        <is>
          <t>Authentication</t>
        </is>
      </c>
      <c r="E400" t="inlineStr" s="4">
        <is>
          <t>Guest/Public</t>
        </is>
      </c>
      <c r="F400" t="inlineStr" s="4">
        <is>
          <t>Closure</t>
        </is>
      </c>
      <c r="G400" t="inlineStr" s="4">
        <is>
          <t>web, Illuminate\Auth\Middleware\Authenticate, App\Http\Middleware\LogUserActivity</t>
        </is>
      </c>
    </row>
    <row r="401" ht="22" customHeight="1">
      <c r="A401" t="inlineStr" s="4">
        <is>
          <t>POST</t>
        </is>
      </c>
      <c r="B401" t="inlineStr" s="4">
        <is>
          <t>email/verification-notification</t>
        </is>
      </c>
      <c r="C401" t="inlineStr" s="4">
        <is>
          <t>verification.send</t>
        </is>
      </c>
      <c r="D401" t="inlineStr" s="4">
        <is>
          <t>Authentication</t>
        </is>
      </c>
      <c r="E401" t="inlineStr" s="4">
        <is>
          <t>Guest/Public</t>
        </is>
      </c>
      <c r="F401" t="inlineStr" s="4">
        <is>
          <t>Laravel\Fortify\Http\Controllers\EmailVerificationNotificationController@store</t>
        </is>
      </c>
      <c r="G401" t="inlineStr" s="4">
        <is>
          <t>web, Illuminate\Auth\Middleware\Authenticate:web, Illuminate\Routing\Middleware\ThrottleRequests:6,1</t>
        </is>
      </c>
    </row>
    <row r="402" ht="22" customHeight="1">
      <c r="A402" t="inlineStr" s="4">
        <is>
          <t>GET|HEAD</t>
        </is>
      </c>
      <c r="B402" t="inlineStr" s="4">
        <is>
          <t>email/verify</t>
        </is>
      </c>
      <c r="C402" t="inlineStr" s="4">
        <is>
          <t>verification.notice</t>
        </is>
      </c>
      <c r="D402" t="inlineStr" s="4">
        <is>
          <t>Authentication</t>
        </is>
      </c>
      <c r="E402" t="inlineStr" s="4">
        <is>
          <t>Guest/Public</t>
        </is>
      </c>
      <c r="F402" t="inlineStr" s="4">
        <is>
          <t>Laravel\Fortify\Http\Controllers\EmailVerificationPromptController@__invoke</t>
        </is>
      </c>
      <c r="G402" t="inlineStr" s="4">
        <is>
          <t>web, Illuminate\Auth\Middleware\Authenticate:web</t>
        </is>
      </c>
    </row>
    <row r="403" ht="22" customHeight="1">
      <c r="A403" t="inlineStr" s="4">
        <is>
          <t>GET|HEAD</t>
        </is>
      </c>
      <c r="B403" t="inlineStr" s="4">
        <is>
          <t>email/verify/{id}/{hash}</t>
        </is>
      </c>
      <c r="C403" t="inlineStr" s="4">
        <is>
          <t>verification.verify</t>
        </is>
      </c>
      <c r="D403" t="inlineStr" s="4">
        <is>
          <t>Authentication</t>
        </is>
      </c>
      <c r="E403" t="inlineStr" s="4">
        <is>
          <t>Guest/Public</t>
        </is>
      </c>
      <c r="F403" t="inlineStr" s="4">
        <is>
          <t>Laravel\Fortify\Http\Controllers\VerifyEmailController@__invoke</t>
        </is>
      </c>
      <c r="G403" t="inlineStr" s="4">
        <is>
          <t>web, Illuminate\Auth\Middleware\Authenticate:web, Illuminate\Routing\Middleware\ValidateSignature, Illuminate\Routing\Middleware\ThrottleRequests:6,1</t>
        </is>
      </c>
    </row>
    <row r="404" ht="22" customHeight="1">
      <c r="A404" t="inlineStr" s="4">
        <is>
          <t>GET|HEAD</t>
        </is>
      </c>
      <c r="B404" t="inlineStr" s="4">
        <is>
          <t>events</t>
        </is>
      </c>
      <c r="C404" t="inlineStr" s="4">
        <is>
          <t>events.search</t>
        </is>
      </c>
      <c r="D404" t="inlineStr" s="4">
        <is>
          <t>Retired Product Surface</t>
        </is>
      </c>
      <c r="E404" t="inlineStr" s="4">
        <is>
          <t>Guest/Public</t>
        </is>
      </c>
      <c r="F404" t="inlineStr" s="4">
        <is>
          <t>App\Http\Controllers\PublicEventController@index</t>
        </is>
      </c>
      <c r="G404" t="inlineStr" s="4">
        <is>
          <t>web</t>
        </is>
      </c>
    </row>
    <row r="405" ht="22" customHeight="1">
      <c r="A405" t="inlineStr" s="4">
        <is>
          <t>POST</t>
        </is>
      </c>
      <c r="B405" t="inlineStr" s="4">
        <is>
          <t>events/booking/confirm</t>
        </is>
      </c>
      <c r="C405" t="inlineStr" s="4">
        <is>
          <t>events.booking.confirm</t>
        </is>
      </c>
      <c r="D405" t="inlineStr" s="4">
        <is>
          <t>Retired Product Surface</t>
        </is>
      </c>
      <c r="E405" t="inlineStr" s="4">
        <is>
          <t>Guest/Public</t>
        </is>
      </c>
      <c r="F405" t="inlineStr" s="4">
        <is>
          <t>App\Http\Controllers\EventPublicBookingController@confirm</t>
        </is>
      </c>
      <c r="G405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406" ht="22" customHeight="1">
      <c r="A406" t="inlineStr" s="4">
        <is>
          <t>POST</t>
        </is>
      </c>
      <c r="B406" t="inlineStr" s="4">
        <is>
          <t>events/booking/prepare</t>
        </is>
      </c>
      <c r="C406" t="inlineStr" s="4">
        <is>
          <t>events.booking.prepare</t>
        </is>
      </c>
      <c r="D406" t="inlineStr" s="4">
        <is>
          <t>Retired Product Surface</t>
        </is>
      </c>
      <c r="E406" t="inlineStr" s="4">
        <is>
          <t>Guest/Public</t>
        </is>
      </c>
      <c r="F406" t="inlineStr" s="4">
        <is>
          <t>App\Http\Controllers\EventPublicBookingController@prepare</t>
        </is>
      </c>
      <c r="G406" t="inlineStr" s="4">
        <is>
          <t>web, App\Http\Middleware\EnsureTransactionsAvailable</t>
        </is>
      </c>
    </row>
    <row r="407" ht="22" customHeight="1">
      <c r="A407" t="inlineStr" s="4">
        <is>
          <t>GET|HEAD</t>
        </is>
      </c>
      <c r="B407" t="inlineStr" s="4">
        <is>
          <t>events/booking/review</t>
        </is>
      </c>
      <c r="C407" t="inlineStr" s="4">
        <is>
          <t>events.booking.review</t>
        </is>
      </c>
      <c r="D407" t="inlineStr" s="4">
        <is>
          <t>Retired Product Surface</t>
        </is>
      </c>
      <c r="E407" t="inlineStr" s="4">
        <is>
          <t>Guest/Public</t>
        </is>
      </c>
      <c r="F407" t="inlineStr" s="4">
        <is>
          <t>App\Http\Controllers\EventPublicBookingController@review</t>
        </is>
      </c>
      <c r="G407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408" ht="22" customHeight="1">
      <c r="A408" t="inlineStr" s="4">
        <is>
          <t>GET|HEAD</t>
        </is>
      </c>
      <c r="B408" t="inlineStr" s="4">
        <is>
          <t>events/booking/{booking}</t>
        </is>
      </c>
      <c r="C408" t="inlineStr" s="4">
        <is>
          <t>events.booking.show</t>
        </is>
      </c>
      <c r="D408" t="inlineStr" s="4">
        <is>
          <t>Retired Product Surface</t>
        </is>
      </c>
      <c r="E408" t="inlineStr" s="4">
        <is>
          <t>Guest/Public</t>
        </is>
      </c>
      <c r="F408" t="inlineStr" s="4">
        <is>
          <t>App\Http\Controllers\EventPublicBookingController@show</t>
        </is>
      </c>
      <c r="G408" t="inlineStr" s="4">
        <is>
          <t>web, Illuminate\Auth\Middleware\Authenticate, Illuminate\Auth\Middleware\EnsureEmailIsVerified, App\Http\Middleware\EnsureUser, App\Http\Middleware\LogUserActivity</t>
        </is>
      </c>
    </row>
    <row r="409" ht="22" customHeight="1">
      <c r="A409" t="inlineStr" s="4">
        <is>
          <t>GET|HEAD</t>
        </is>
      </c>
      <c r="B409" t="inlineStr" s="4">
        <is>
          <t>events/booking/{booking}/payment</t>
        </is>
      </c>
      <c r="C409" t="inlineStr" s="4">
        <is>
          <t>events.booking.payment</t>
        </is>
      </c>
      <c r="D409" t="inlineStr" s="4">
        <is>
          <t>Retired Product Surface</t>
        </is>
      </c>
      <c r="E409" t="inlineStr" s="4">
        <is>
          <t>Guest/Public</t>
        </is>
      </c>
      <c r="F409" t="inlineStr" s="4">
        <is>
          <t>App\Http\Controllers\EventPublicBookingController@payment</t>
        </is>
      </c>
      <c r="G409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410" ht="22" customHeight="1">
      <c r="A410" t="inlineStr" s="4">
        <is>
          <t>POST</t>
        </is>
      </c>
      <c r="B410" t="inlineStr" s="4">
        <is>
          <t>events/booking/{booking}/payment</t>
        </is>
      </c>
      <c r="C410" t="inlineStr" s="4">
        <is>
          <t>events.booking.pay</t>
        </is>
      </c>
      <c r="D410" t="inlineStr" s="4">
        <is>
          <t>Retired Product Surface</t>
        </is>
      </c>
      <c r="E410" t="inlineStr" s="4">
        <is>
          <t>Guest/Public</t>
        </is>
      </c>
      <c r="F410" t="inlineStr" s="4">
        <is>
          <t>App\Http\Controllers\EventPublicBookingController@pay</t>
        </is>
      </c>
      <c r="G410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411" ht="22" customHeight="1">
      <c r="A411" t="inlineStr" s="4">
        <is>
          <t>GET|HEAD</t>
        </is>
      </c>
      <c r="B411" t="inlineStr" s="4">
        <is>
          <t>events/booking/{booking}/ticket</t>
        </is>
      </c>
      <c r="C411" t="inlineStr" s="4">
        <is>
          <t>events.booking.ticket</t>
        </is>
      </c>
      <c r="D411" t="inlineStr" s="4">
        <is>
          <t>Retired Product Surface</t>
        </is>
      </c>
      <c r="E411" t="inlineStr" s="4">
        <is>
          <t>Guest/Public</t>
        </is>
      </c>
      <c r="F411" t="inlineStr" s="4">
        <is>
          <t>App\Http\Controllers\EventPublicBookingController@ticket</t>
        </is>
      </c>
      <c r="G411" t="inlineStr" s="4">
        <is>
          <t>web, Illuminate\Auth\Middleware\Authenticate, Illuminate\Auth\Middleware\EnsureEmailIsVerified, App\Http\Middleware\EnsureUser, App\Http\Middleware\LogUserActivity</t>
        </is>
      </c>
    </row>
    <row r="412" ht="22" customHeight="1">
      <c r="A412" t="inlineStr" s="4">
        <is>
          <t>GET|HEAD</t>
        </is>
      </c>
      <c r="B412" t="inlineStr" s="4">
        <is>
          <t>events/{event}</t>
        </is>
      </c>
      <c r="C412" t="inlineStr" s="4">
        <is>
          <t>events.show</t>
        </is>
      </c>
      <c r="D412" t="inlineStr" s="4">
        <is>
          <t>Retired Product Surface</t>
        </is>
      </c>
      <c r="E412" t="inlineStr" s="4">
        <is>
          <t>Guest/Public</t>
        </is>
      </c>
      <c r="F412" t="inlineStr" s="4">
        <is>
          <t>App\Http\Controllers\PublicEventController@show</t>
        </is>
      </c>
      <c r="G412" t="inlineStr" s="4">
        <is>
          <t>web</t>
        </is>
      </c>
    </row>
    <row r="413" ht="22" customHeight="1">
      <c r="A413" t="inlineStr" s="4">
        <is>
          <t>GET|HEAD</t>
        </is>
      </c>
      <c r="B413" t="inlineStr" s="4">
        <is>
          <t>faq</t>
        </is>
      </c>
      <c r="C413" t="inlineStr" s="4">
        <is>
          <t>public.faq</t>
        </is>
      </c>
      <c r="D413" t="inlineStr" s="4">
        <is>
          <t>Public Web</t>
        </is>
      </c>
      <c r="E413" t="inlineStr" s="4">
        <is>
          <t>Guest/Public</t>
        </is>
      </c>
      <c r="F413" t="inlineStr" s="4">
        <is>
          <t>App\Http\Controllers\PublicFaqController@index</t>
        </is>
      </c>
      <c r="G413" t="inlineStr" s="4">
        <is>
          <t>web</t>
        </is>
      </c>
    </row>
    <row r="414" ht="22" customHeight="1">
      <c r="A414" t="inlineStr" s="4">
        <is>
          <t>GET|HEAD</t>
        </is>
      </c>
      <c r="B414" t="inlineStr" s="4">
        <is>
          <t>forgot-password</t>
        </is>
      </c>
      <c r="C414" t="inlineStr" s="4">
        <is>
          <t>password.request</t>
        </is>
      </c>
      <c r="D414" t="inlineStr" s="4">
        <is>
          <t>Authentication</t>
        </is>
      </c>
      <c r="E414" t="inlineStr" s="4">
        <is>
          <t>Guest/Public</t>
        </is>
      </c>
      <c r="F414" t="inlineStr" s="4">
        <is>
          <t>Laravel\Fortify\Http\Controllers\PasswordResetLinkController@create</t>
        </is>
      </c>
      <c r="G414" t="inlineStr" s="4">
        <is>
          <t>web, Illuminate\Auth\Middleware\RedirectIfAuthenticated:web</t>
        </is>
      </c>
    </row>
    <row r="415" ht="22" customHeight="1">
      <c r="A415" t="inlineStr" s="4">
        <is>
          <t>POST</t>
        </is>
      </c>
      <c r="B415" t="inlineStr" s="4">
        <is>
          <t>forgot-password</t>
        </is>
      </c>
      <c r="C415" t="inlineStr" s="4">
        <is>
          <t>password.email</t>
        </is>
      </c>
      <c r="D415" t="inlineStr" s="4">
        <is>
          <t>Authentication</t>
        </is>
      </c>
      <c r="E415" t="inlineStr" s="4">
        <is>
          <t>Guest/Public</t>
        </is>
      </c>
      <c r="F415" t="inlineStr" s="4">
        <is>
          <t>Laravel\Fortify\Http\Controllers\PasswordResetLinkController@store</t>
        </is>
      </c>
      <c r="G415" t="inlineStr" s="4">
        <is>
          <t>web, Illuminate\Auth\Middleware\RedirectIfAuthenticated:web</t>
        </is>
      </c>
    </row>
    <row r="416" ht="22" customHeight="1">
      <c r="A416" t="inlineStr" s="4">
        <is>
          <t>GET|HEAD</t>
        </is>
      </c>
      <c r="B416" t="inlineStr" s="4">
        <is>
          <t>history</t>
        </is>
      </c>
      <c r="C416" t="inlineStr" s="4">
        <is>
          <t>public.history</t>
        </is>
      </c>
      <c r="D416" t="inlineStr" s="4">
        <is>
          <t>Public Web</t>
        </is>
      </c>
      <c r="E416" t="inlineStr" s="4">
        <is>
          <t>Guest/Public</t>
        </is>
      </c>
      <c r="F416" t="inlineStr" s="4">
        <is>
          <t>App\Http\Controllers\PublicHistoryController@index</t>
        </is>
      </c>
      <c r="G416" t="inlineStr" s="4">
        <is>
          <t>web, Illuminate\Auth\Middleware\Authenticate, Illuminate\Auth\Middleware\EnsureEmailIsVerified, App\Http\Middleware\EnsureUser, App\Http\Middleware\LogUserActivity</t>
        </is>
      </c>
    </row>
    <row r="417" ht="22" customHeight="1">
      <c r="A417" t="inlineStr" s="4">
        <is>
          <t>GET|HEAD</t>
        </is>
      </c>
      <c r="B417" t="inlineStr" s="4">
        <is>
          <t>hotels</t>
        </is>
      </c>
      <c r="C417" t="inlineStr" s="4">
        <is>
          <t>hotels.index</t>
        </is>
      </c>
      <c r="D417" t="inlineStr" s="4">
        <is>
          <t>Retired Product Surface</t>
        </is>
      </c>
      <c r="E417" t="inlineStr" s="4">
        <is>
          <t>Guest/Public</t>
        </is>
      </c>
      <c r="F417" t="inlineStr" s="4">
        <is>
          <t>App\Http\Controllers\HotelController@index</t>
        </is>
      </c>
      <c r="G417" t="inlineStr" s="4">
        <is>
          <t>web, Illuminate\Auth\Middleware\Authenticate, Illuminate\Auth\Middleware\EnsureEmailIsVerified, App\Http\Middleware\EnsureAdmin, App\Http\Middleware\LogAdminActivity</t>
        </is>
      </c>
    </row>
    <row r="418" ht="22" customHeight="1">
      <c r="A418" t="inlineStr" s="4">
        <is>
          <t>POST</t>
        </is>
      </c>
      <c r="B418" t="inlineStr" s="4">
        <is>
          <t>hotels</t>
        </is>
      </c>
      <c r="C418" t="inlineStr" s="4">
        <is>
          <t>hotels.store</t>
        </is>
      </c>
      <c r="D418" t="inlineStr" s="4">
        <is>
          <t>Retired Product Surface</t>
        </is>
      </c>
      <c r="E418" t="inlineStr" s="4">
        <is>
          <t>Guest/Public</t>
        </is>
      </c>
      <c r="F418" t="inlineStr" s="4">
        <is>
          <t>App\Http\Controllers\HotelController@store</t>
        </is>
      </c>
      <c r="G418" t="inlineStr" s="4">
        <is>
          <t>web, Illuminate\Auth\Middleware\Authenticate, Illuminate\Auth\Middleware\EnsureEmailIsVerified, App\Http\Middleware\EnsureAdmin, App\Http\Middleware\LogAdminActivity</t>
        </is>
      </c>
    </row>
    <row r="419" ht="22" customHeight="1">
      <c r="A419" t="inlineStr" s="4">
        <is>
          <t>GET|HEAD</t>
        </is>
      </c>
      <c r="B419" t="inlineStr" s="4">
        <is>
          <t>hotels/create</t>
        </is>
      </c>
      <c r="C419" t="inlineStr" s="4">
        <is>
          <t>hotels.create</t>
        </is>
      </c>
      <c r="D419" t="inlineStr" s="4">
        <is>
          <t>Retired Product Surface</t>
        </is>
      </c>
      <c r="E419" t="inlineStr" s="4">
        <is>
          <t>Guest/Public</t>
        </is>
      </c>
      <c r="F419" t="inlineStr" s="4">
        <is>
          <t>App\Http\Controllers\HotelController@create</t>
        </is>
      </c>
      <c r="G419" t="inlineStr" s="4">
        <is>
          <t>web, Illuminate\Auth\Middleware\Authenticate, Illuminate\Auth\Middleware\EnsureEmailIsVerified, App\Http\Middleware\EnsureAdmin, App\Http\Middleware\LogAdminActivity</t>
        </is>
      </c>
    </row>
    <row r="420" ht="22" customHeight="1">
      <c r="A420" t="inlineStr" s="4">
        <is>
          <t>PUT|PATCH</t>
        </is>
      </c>
      <c r="B420" t="inlineStr" s="4">
        <is>
          <t>hotels/{hotel}</t>
        </is>
      </c>
      <c r="C420" t="inlineStr" s="4">
        <is>
          <t>hotels.update</t>
        </is>
      </c>
      <c r="D420" t="inlineStr" s="4">
        <is>
          <t>Retired Product Surface</t>
        </is>
      </c>
      <c r="E420" t="inlineStr" s="4">
        <is>
          <t>Guest/Public</t>
        </is>
      </c>
      <c r="F420" t="inlineStr" s="4">
        <is>
          <t>App\Http\Controllers\HotelController@update</t>
        </is>
      </c>
      <c r="G420" t="inlineStr" s="4">
        <is>
          <t>web, Illuminate\Auth\Middleware\Authenticate, Illuminate\Auth\Middleware\EnsureEmailIsVerified, App\Http\Middleware\EnsureAdmin, App\Http\Middleware\LogAdminActivity</t>
        </is>
      </c>
    </row>
    <row r="421" ht="22" customHeight="1">
      <c r="A421" t="inlineStr" s="4">
        <is>
          <t>DELETE</t>
        </is>
      </c>
      <c r="B421" t="inlineStr" s="4">
        <is>
          <t>hotels/{hotel}</t>
        </is>
      </c>
      <c r="C421" t="inlineStr" s="4">
        <is>
          <t>hotels.destroy</t>
        </is>
      </c>
      <c r="D421" t="inlineStr" s="4">
        <is>
          <t>Retired Product Surface</t>
        </is>
      </c>
      <c r="E421" t="inlineStr" s="4">
        <is>
          <t>Guest/Public</t>
        </is>
      </c>
      <c r="F421" t="inlineStr" s="4">
        <is>
          <t>App\Http\Controllers\HotelController@destroy</t>
        </is>
      </c>
      <c r="G421" t="inlineStr" s="4">
        <is>
          <t>web, Illuminate\Auth\Middleware\Authenticate, Illuminate\Auth\Middleware\EnsureEmailIsVerified, App\Http\Middleware\EnsureAdmin, App\Http\Middleware\LogAdminActivity</t>
        </is>
      </c>
    </row>
    <row r="422" ht="22" customHeight="1">
      <c r="A422" t="inlineStr" s="4">
        <is>
          <t>GET|HEAD</t>
        </is>
      </c>
      <c r="B422" t="inlineStr" s="4">
        <is>
          <t>hotels/{hotel}/edit</t>
        </is>
      </c>
      <c r="C422" t="inlineStr" s="4">
        <is>
          <t>hotels.edit</t>
        </is>
      </c>
      <c r="D422" t="inlineStr" s="4">
        <is>
          <t>Retired Product Surface</t>
        </is>
      </c>
      <c r="E422" t="inlineStr" s="4">
        <is>
          <t>Guest/Public</t>
        </is>
      </c>
      <c r="F422" t="inlineStr" s="4">
        <is>
          <t>App\Http\Controllers\HotelController@edit</t>
        </is>
      </c>
      <c r="G422" t="inlineStr" s="4">
        <is>
          <t>web, Illuminate\Auth\Middleware\Authenticate, Illuminate\Auth\Middleware\EnsureEmailIsVerified, App\Http\Middleware\EnsureAdmin, App\Http\Middleware\LogAdminActivity</t>
        </is>
      </c>
    </row>
    <row r="423" ht="22" customHeight="1">
      <c r="A423" t="inlineStr" s="4">
        <is>
          <t>DELETE</t>
        </is>
      </c>
      <c r="B423" t="inlineStr" s="4">
        <is>
          <t>hotels/{hotel}/images/{hotelImage}</t>
        </is>
      </c>
      <c r="C423" t="inlineStr" s="4">
        <is>
          <t>hotels.images.destroy</t>
        </is>
      </c>
      <c r="D423" t="inlineStr" s="4">
        <is>
          <t>Retired Product Surface</t>
        </is>
      </c>
      <c r="E423" t="inlineStr" s="4">
        <is>
          <t>Guest/Public</t>
        </is>
      </c>
      <c r="F423" t="inlineStr" s="4">
        <is>
          <t>App\Http\Controllers\HotelController@destroyImage</t>
        </is>
      </c>
      <c r="G423" t="inlineStr" s="4">
        <is>
          <t>web, Illuminate\Auth\Middleware\Authenticate, Illuminate\Auth\Middleware\EnsureEmailIsVerified, App\Http\Middleware\EnsureAdmin, App\Http\Middleware\LogAdminActivity</t>
        </is>
      </c>
    </row>
    <row r="424" ht="22" customHeight="1">
      <c r="A424" t="inlineStr" s="4">
        <is>
          <t>GET|HEAD</t>
        </is>
      </c>
      <c r="B424" t="inlineStr" s="4">
        <is>
          <t>jelajah</t>
        </is>
      </c>
      <c r="C424" t="inlineStr" s="4">
        <is>
          <t>public.blog.index</t>
        </is>
      </c>
      <c r="D424" t="inlineStr" s="4">
        <is>
          <t>Other / Legacy / Shared</t>
        </is>
      </c>
      <c r="E424" t="inlineStr" s="4">
        <is>
          <t>Guest/Public</t>
        </is>
      </c>
      <c r="F424" t="inlineStr" s="4">
        <is>
          <t>App\Http\Controllers\PublicBlogController@index</t>
        </is>
      </c>
      <c r="G424" t="inlineStr" s="4">
        <is>
          <t>web</t>
        </is>
      </c>
    </row>
    <row r="425" ht="22" customHeight="1">
      <c r="A425" t="inlineStr" s="4">
        <is>
          <t>GET|HEAD</t>
        </is>
      </c>
      <c r="B425" t="inlineStr" s="4">
        <is>
          <t>jelajah/{slug}</t>
        </is>
      </c>
      <c r="C425" t="inlineStr" s="4">
        <is>
          <t>public.blog.show</t>
        </is>
      </c>
      <c r="D425" t="inlineStr" s="4">
        <is>
          <t>Other / Legacy / Shared</t>
        </is>
      </c>
      <c r="E425" t="inlineStr" s="4">
        <is>
          <t>Guest/Public</t>
        </is>
      </c>
      <c r="F425" t="inlineStr" s="4">
        <is>
          <t>App\Http\Controllers\PublicBlogController@show</t>
        </is>
      </c>
      <c r="G425" t="inlineStr" s="4">
        <is>
          <t>web</t>
        </is>
      </c>
    </row>
    <row r="426" ht="22" customHeight="1">
      <c r="A426" t="inlineStr" s="4">
        <is>
          <t>GET|HEAD</t>
        </is>
      </c>
      <c r="B426" t="inlineStr" s="4">
        <is>
          <t>login</t>
        </is>
      </c>
      <c r="C426" t="inlineStr" s="4">
        <is>
          <t>login</t>
        </is>
      </c>
      <c r="D426" t="inlineStr" s="4">
        <is>
          <t>Authentication</t>
        </is>
      </c>
      <c r="E426" t="inlineStr" s="4">
        <is>
          <t>Guest/Public</t>
        </is>
      </c>
      <c r="F426" t="inlineStr" s="4">
        <is>
          <t>Laravel\Fortify\Http\Controllers\AuthenticatedSessionController@create</t>
        </is>
      </c>
      <c r="G426" t="inlineStr" s="4">
        <is>
          <t>web, Illuminate\Auth\Middleware\RedirectIfAuthenticated:web</t>
        </is>
      </c>
    </row>
    <row r="427" ht="22" customHeight="1">
      <c r="A427" t="inlineStr" s="4">
        <is>
          <t>POST</t>
        </is>
      </c>
      <c r="B427" t="inlineStr" s="4">
        <is>
          <t>login</t>
        </is>
      </c>
      <c r="C427" t="inlineStr" s="4">
        <is>
          <t>login.store</t>
        </is>
      </c>
      <c r="D427" t="inlineStr" s="4">
        <is>
          <t>Authentication</t>
        </is>
      </c>
      <c r="E427" t="inlineStr" s="4">
        <is>
          <t>Guest/Public</t>
        </is>
      </c>
      <c r="F427" t="inlineStr" s="4">
        <is>
          <t>Laravel\Fortify\Http\Controllers\AuthenticatedSessionController@store</t>
        </is>
      </c>
      <c r="G427" t="inlineStr" s="4">
        <is>
          <t>web, Illuminate\Auth\Middleware\RedirectIfAuthenticated:web, Illuminate\Routing\Middleware\ThrottleRequests:login</t>
        </is>
      </c>
    </row>
    <row r="428" ht="22" customHeight="1">
      <c r="A428" t="inlineStr" s="4">
        <is>
          <t>POST</t>
        </is>
      </c>
      <c r="B428" t="inlineStr" s="4">
        <is>
          <t>logout</t>
        </is>
      </c>
      <c r="C428" t="inlineStr" s="4">
        <is>
          <t>logout</t>
        </is>
      </c>
      <c r="D428" t="inlineStr" s="4">
        <is>
          <t>Other / Legacy / Shared</t>
        </is>
      </c>
      <c r="E428" t="inlineStr" s="4">
        <is>
          <t>Guest/Public</t>
        </is>
      </c>
      <c r="F428" t="inlineStr" s="4">
        <is>
          <t>Laravel\Fortify\Http\Controllers\AuthenticatedSessionController@destroy</t>
        </is>
      </c>
      <c r="G428" t="inlineStr" s="4">
        <is>
          <t>web, Illuminate\Auth\Middleware\Authenticate:web</t>
        </is>
      </c>
    </row>
    <row r="429" ht="22" customHeight="1">
      <c r="A429" t="inlineStr" s="4">
        <is>
          <t>GET|HEAD</t>
        </is>
      </c>
      <c r="B429" t="inlineStr" s="4">
        <is>
          <t>mitra/bookings</t>
        </is>
      </c>
      <c r="C429" t="inlineStr" s="4">
        <is>
          <t>mitra.bookings.index</t>
        </is>
      </c>
      <c r="D429" t="inlineStr" s="4">
        <is>
          <t>Other / Legacy / Shared</t>
        </is>
      </c>
      <c r="E429" t="inlineStr" s="4">
        <is>
          <t>Mitra</t>
        </is>
      </c>
      <c r="F429" t="inlineStr" s="4">
        <is>
          <t>App\Http\Controllers\Mitra\BookingController@index</t>
        </is>
      </c>
      <c r="G429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30" ht="22" customHeight="1">
      <c r="A430" t="inlineStr" s="4">
        <is>
          <t>GET|HEAD</t>
        </is>
      </c>
      <c r="B430" t="inlineStr" s="4">
        <is>
          <t>mitra/bookings/{booking}</t>
        </is>
      </c>
      <c r="C430" t="inlineStr" s="4">
        <is>
          <t>mitra.bookings.show</t>
        </is>
      </c>
      <c r="D430" t="inlineStr" s="4">
        <is>
          <t>Other / Legacy / Shared</t>
        </is>
      </c>
      <c r="E430" t="inlineStr" s="4">
        <is>
          <t>Mitra</t>
        </is>
      </c>
      <c r="F430" t="inlineStr" s="4">
        <is>
          <t>App\Http\Controllers\Mitra\BookingController@show</t>
        </is>
      </c>
      <c r="G430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31" ht="22" customHeight="1">
      <c r="A431" t="inlineStr" s="4">
        <is>
          <t>POST</t>
        </is>
      </c>
      <c r="B431" t="inlineStr" s="4">
        <is>
          <t>mitra/bookings/{booking}/cancel</t>
        </is>
      </c>
      <c r="C431" t="inlineStr" s="4">
        <is>
          <t>mitra.bookings.cancel</t>
        </is>
      </c>
      <c r="D431" t="inlineStr" s="4">
        <is>
          <t>Other / Legacy / Shared</t>
        </is>
      </c>
      <c r="E431" t="inlineStr" s="4">
        <is>
          <t>Mitra</t>
        </is>
      </c>
      <c r="F431" t="inlineStr" s="4">
        <is>
          <t>App\Http\Controllers\Mitra\BookingController@cancel</t>
        </is>
      </c>
      <c r="G431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32" ht="22" customHeight="1">
      <c r="A432" t="inlineStr" s="4">
        <is>
          <t>POST</t>
        </is>
      </c>
      <c r="B432" t="inlineStr" s="4">
        <is>
          <t>mitra/bookings/{booking}/dispute</t>
        </is>
      </c>
      <c r="C432" t="inlineStr" s="4">
        <is>
          <t>mitra.bookings.dispute</t>
        </is>
      </c>
      <c r="D432" t="inlineStr" s="4">
        <is>
          <t>Other / Legacy / Shared</t>
        </is>
      </c>
      <c r="E432" t="inlineStr" s="4">
        <is>
          <t>Mitra</t>
        </is>
      </c>
      <c r="F432" t="inlineStr" s="4">
        <is>
          <t>App\Http\Controllers\Mitra\BookingController@dispute</t>
        </is>
      </c>
      <c r="G432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33" ht="22" customHeight="1">
      <c r="A433" t="inlineStr" s="4">
        <is>
          <t>PATCH</t>
        </is>
      </c>
      <c r="B433" t="inlineStr" s="4">
        <is>
          <t>mitra/bookings/{booking}/notes</t>
        </is>
      </c>
      <c r="C433" t="inlineStr" s="4">
        <is>
          <t>mitra.bookings.notes</t>
        </is>
      </c>
      <c r="D433" t="inlineStr" s="4">
        <is>
          <t>Other / Legacy / Shared</t>
        </is>
      </c>
      <c r="E433" t="inlineStr" s="4">
        <is>
          <t>Mitra</t>
        </is>
      </c>
      <c r="F433" t="inlineStr" s="4">
        <is>
          <t>App\Http\Controllers\Mitra\BookingController@updateNotes</t>
        </is>
      </c>
      <c r="G433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34" ht="22" customHeight="1">
      <c r="A434" t="inlineStr" s="4">
        <is>
          <t>POST</t>
        </is>
      </c>
      <c r="B434" t="inlineStr" s="4">
        <is>
          <t>mitra/bookings/{booking}/refund</t>
        </is>
      </c>
      <c r="C434" t="inlineStr" s="4">
        <is>
          <t>mitra.bookings.refund</t>
        </is>
      </c>
      <c r="D434" t="inlineStr" s="4">
        <is>
          <t>Other / Legacy / Shared</t>
        </is>
      </c>
      <c r="E434" t="inlineStr" s="4">
        <is>
          <t>Mitra</t>
        </is>
      </c>
      <c r="F434" t="inlineStr" s="4">
        <is>
          <t>App\Http\Controllers\Mitra\BookingController@refund</t>
        </is>
      </c>
      <c r="G434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35" ht="22" customHeight="1">
      <c r="A435" t="inlineStr" s="4">
        <is>
          <t>POST</t>
        </is>
      </c>
      <c r="B435" t="inlineStr" s="4">
        <is>
          <t>mitra/bookings/{booking}/stay-status</t>
        </is>
      </c>
      <c r="C435" t="inlineStr" s="4">
        <is>
          <t>mitra.bookings.stay-status</t>
        </is>
      </c>
      <c r="D435" t="inlineStr" s="4">
        <is>
          <t>Other / Legacy / Shared</t>
        </is>
      </c>
      <c r="E435" t="inlineStr" s="4">
        <is>
          <t>Mitra</t>
        </is>
      </c>
      <c r="F435" t="inlineStr" s="4">
        <is>
          <t>App\Http\Controllers\Mitra\BookingController@updateStayStatus</t>
        </is>
      </c>
      <c r="G435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36" ht="22" customHeight="1">
      <c r="A436" t="inlineStr" s="4">
        <is>
          <t>GET|HEAD</t>
        </is>
      </c>
      <c r="B436" t="inlineStr" s="4">
        <is>
          <t>mitra/chat</t>
        </is>
      </c>
      <c r="C436" t="inlineStr" s="4">
        <is>
          <t>mitra.chat.index</t>
        </is>
      </c>
      <c r="D436" t="inlineStr" s="4">
        <is>
          <t>Other / Legacy / Shared</t>
        </is>
      </c>
      <c r="E436" t="inlineStr" s="4">
        <is>
          <t>Mitra</t>
        </is>
      </c>
      <c r="F436" t="inlineStr" s="4">
        <is>
          <t>App\Http\Controllers\Mitra\ChatController@index</t>
        </is>
      </c>
      <c r="G436" t="inlineStr" s="4">
        <is>
          <t>web, Illuminate\Auth\Middleware\Authenticate, Illuminate\Auth\Middleware\EnsureEmailIsVerified, App\Http\Middleware\EnsureMitra, App\Http\Middleware\LogUserActivity</t>
        </is>
      </c>
    </row>
    <row r="437" ht="22" customHeight="1">
      <c r="A437" t="inlineStr" s="4">
        <is>
          <t>GET|HEAD</t>
        </is>
      </c>
      <c r="B437" t="inlineStr" s="4">
        <is>
          <t>mitra/chat/{conversation}</t>
        </is>
      </c>
      <c r="C437" t="inlineStr" s="4">
        <is>
          <t>mitra.chat.show</t>
        </is>
      </c>
      <c r="D437" t="inlineStr" s="4">
        <is>
          <t>Other / Legacy / Shared</t>
        </is>
      </c>
      <c r="E437" t="inlineStr" s="4">
        <is>
          <t>Mitra</t>
        </is>
      </c>
      <c r="F437" t="inlineStr" s="4">
        <is>
          <t>App\Http\Controllers\Mitra\ChatController@show</t>
        </is>
      </c>
      <c r="G437" t="inlineStr" s="4">
        <is>
          <t>web, Illuminate\Auth\Middleware\Authenticate, Illuminate\Auth\Middleware\EnsureEmailIsVerified, App\Http\Middleware\EnsureMitra, App\Http\Middleware\LogUserActivity</t>
        </is>
      </c>
    </row>
    <row r="438" ht="22" customHeight="1">
      <c r="A438" t="inlineStr" s="4">
        <is>
          <t>POST</t>
        </is>
      </c>
      <c r="B438" t="inlineStr" s="4">
        <is>
          <t>mitra/chat/{conversation}/messages</t>
        </is>
      </c>
      <c r="C438" t="inlineStr" s="4">
        <is>
          <t>mitra.chat.messages.store</t>
        </is>
      </c>
      <c r="D438" t="inlineStr" s="4">
        <is>
          <t>Other / Legacy / Shared</t>
        </is>
      </c>
      <c r="E438" t="inlineStr" s="4">
        <is>
          <t>Mitra</t>
        </is>
      </c>
      <c r="F438" t="inlineStr" s="4">
        <is>
          <t>App\Http\Controllers\Mitra\ChatController@store</t>
        </is>
      </c>
      <c r="G438" t="inlineStr" s="4">
        <is>
          <t>web, Illuminate\Auth\Middleware\Authenticate, Illuminate\Auth\Middleware\EnsureEmailIsVerified, App\Http\Middleware\EnsureMitra, App\Http\Middleware\LogUserActivity</t>
        </is>
      </c>
    </row>
    <row r="439" ht="22" customHeight="1">
      <c r="A439" t="inlineStr" s="4">
        <is>
          <t>GET|HEAD</t>
        </is>
      </c>
      <c r="B439" t="inlineStr" s="4">
        <is>
          <t>mitra/dashboard</t>
        </is>
      </c>
      <c r="C439" t="inlineStr" s="4">
        <is>
          <t>mitra.dashboard</t>
        </is>
      </c>
      <c r="D439" t="inlineStr" s="4">
        <is>
          <t>Other / Legacy / Shared</t>
        </is>
      </c>
      <c r="E439" t="inlineStr" s="4">
        <is>
          <t>Mitra</t>
        </is>
      </c>
      <c r="F439" t="inlineStr" s="4">
        <is>
          <t>App\Http\Controllers\Mitra\DashboardController@index</t>
        </is>
      </c>
      <c r="G439" t="inlineStr" s="4">
        <is>
          <t>web, Illuminate\Auth\Middleware\Authenticate, Illuminate\Auth\Middleware\EnsureEmailIsVerified, App\Http\Middleware\EnsureMitra, App\Http\Middleware\LogUserActivity</t>
        </is>
      </c>
    </row>
    <row r="440" ht="22" customHeight="1">
      <c r="A440" t="inlineStr" s="4">
        <is>
          <t>GET|HEAD</t>
        </is>
      </c>
      <c r="B440" t="inlineStr" s="4">
        <is>
          <t>mitra/event/onboarding</t>
        </is>
      </c>
      <c r="C440" t="inlineStr" s="4">
        <is>
          <t>mitra.event.onboarding</t>
        </is>
      </c>
      <c r="D440" t="inlineStr" s="4">
        <is>
          <t>Other / Legacy / Shared</t>
        </is>
      </c>
      <c r="E440" t="inlineStr" s="4">
        <is>
          <t>Mitra</t>
        </is>
      </c>
      <c r="F440" t="inlineStr" s="4">
        <is>
          <t>App\Http\Controllers\MitraEventOnboardingController@show</t>
        </is>
      </c>
      <c r="G440" t="inlineStr" s="4">
        <is>
          <t>web, Illuminate\Auth\Middleware\Authenticate, Illuminate\Auth\Middleware\EnsureEmailIsVerified, App\Http\Middleware\EnsureMitra, App\Http\Middleware\LogUserActivity, App\Http\Middleware\EnsureMitraEvent</t>
        </is>
      </c>
    </row>
    <row r="441" ht="22" customHeight="1">
      <c r="A441" t="inlineStr" s="4">
        <is>
          <t>PATCH|POST</t>
        </is>
      </c>
      <c r="B441" t="inlineStr" s="4">
        <is>
          <t>mitra/event/onboarding/step-1</t>
        </is>
      </c>
      <c r="C441" t="inlineStr" s="4">
        <is>
          <t>mitra.event.onboarding.step1</t>
        </is>
      </c>
      <c r="D441" t="inlineStr" s="4">
        <is>
          <t>Other / Legacy / Shared</t>
        </is>
      </c>
      <c r="E441" t="inlineStr" s="4">
        <is>
          <t>Mitra</t>
        </is>
      </c>
      <c r="F441" t="inlineStr" s="4">
        <is>
          <t>App\Http\Controllers\MitraEventOnboardingController@updateStepOne</t>
        </is>
      </c>
      <c r="G441" t="inlineStr" s="4">
        <is>
          <t>web, Illuminate\Auth\Middleware\Authenticate, Illuminate\Auth\Middleware\EnsureEmailIsVerified, App\Http\Middleware\EnsureMitra, App\Http\Middleware\LogUserActivity, App\Http\Middleware\EnsureMitraEvent</t>
        </is>
      </c>
    </row>
    <row r="442" ht="22" customHeight="1">
      <c r="A442" t="inlineStr" s="4">
        <is>
          <t>PATCH|POST</t>
        </is>
      </c>
      <c r="B442" t="inlineStr" s="4">
        <is>
          <t>mitra/event/onboarding/step-2</t>
        </is>
      </c>
      <c r="C442" t="inlineStr" s="4">
        <is>
          <t>mitra.event.onboarding.step2</t>
        </is>
      </c>
      <c r="D442" t="inlineStr" s="4">
        <is>
          <t>Other / Legacy / Shared</t>
        </is>
      </c>
      <c r="E442" t="inlineStr" s="4">
        <is>
          <t>Mitra</t>
        </is>
      </c>
      <c r="F442" t="inlineStr" s="4">
        <is>
          <t>App\Http\Controllers\MitraEventOnboardingController@updateStepTwo</t>
        </is>
      </c>
      <c r="G442" t="inlineStr" s="4">
        <is>
          <t>web, Illuminate\Auth\Middleware\Authenticate, Illuminate\Auth\Middleware\EnsureEmailIsVerified, App\Http\Middleware\EnsureMitra, App\Http\Middleware\LogUserActivity, App\Http\Middleware\EnsureMitraEvent</t>
        </is>
      </c>
    </row>
    <row r="443" ht="22" customHeight="1">
      <c r="A443" t="inlineStr" s="4">
        <is>
          <t>PATCH|POST</t>
        </is>
      </c>
      <c r="B443" t="inlineStr" s="4">
        <is>
          <t>mitra/event/onboarding/step-3</t>
        </is>
      </c>
      <c r="C443" t="inlineStr" s="4">
        <is>
          <t>mitra.event.onboarding.step3</t>
        </is>
      </c>
      <c r="D443" t="inlineStr" s="4">
        <is>
          <t>Other / Legacy / Shared</t>
        </is>
      </c>
      <c r="E443" t="inlineStr" s="4">
        <is>
          <t>Mitra</t>
        </is>
      </c>
      <c r="F443" t="inlineStr" s="4">
        <is>
          <t>App\Http\Controllers\MitraEventOnboardingController@updateStepThree</t>
        </is>
      </c>
      <c r="G443" t="inlineStr" s="4">
        <is>
          <t>web, Illuminate\Auth\Middleware\Authenticate, Illuminate\Auth\Middleware\EnsureEmailIsVerified, App\Http\Middleware\EnsureMitra, App\Http\Middleware\LogUserActivity, App\Http\Middleware\EnsureMitraEvent</t>
        </is>
      </c>
    </row>
    <row r="444" ht="22" customHeight="1">
      <c r="A444" t="inlineStr" s="4">
        <is>
          <t>PATCH|POST</t>
        </is>
      </c>
      <c r="B444" t="inlineStr" s="4">
        <is>
          <t>mitra/event/onboarding/step-4</t>
        </is>
      </c>
      <c r="C444" t="inlineStr" s="4">
        <is>
          <t>mitra.event.onboarding.step4</t>
        </is>
      </c>
      <c r="D444" t="inlineStr" s="4">
        <is>
          <t>Other / Legacy / Shared</t>
        </is>
      </c>
      <c r="E444" t="inlineStr" s="4">
        <is>
          <t>Mitra</t>
        </is>
      </c>
      <c r="F444" t="inlineStr" s="4">
        <is>
          <t>App\Http\Controllers\MitraEventOnboardingController@updateStepFour</t>
        </is>
      </c>
      <c r="G444" t="inlineStr" s="4">
        <is>
          <t>web, Illuminate\Auth\Middleware\Authenticate, Illuminate\Auth\Middleware\EnsureEmailIsVerified, App\Http\Middleware\EnsureMitra, App\Http\Middleware\LogUserActivity, App\Http\Middleware\EnsureMitraEvent</t>
        </is>
      </c>
    </row>
    <row r="445" ht="22" customHeight="1">
      <c r="A445" t="inlineStr" s="4">
        <is>
          <t>POST</t>
        </is>
      </c>
      <c r="B445" t="inlineStr" s="4">
        <is>
          <t>mitra/event/onboarding/submit-verification</t>
        </is>
      </c>
      <c r="C445" t="inlineStr" s="4">
        <is>
          <t>mitra.event.onboarding.submitVerification</t>
        </is>
      </c>
      <c r="D445" t="inlineStr" s="4">
        <is>
          <t>Other / Legacy / Shared</t>
        </is>
      </c>
      <c r="E445" t="inlineStr" s="4">
        <is>
          <t>Mitra</t>
        </is>
      </c>
      <c r="F445" t="inlineStr" s="4">
        <is>
          <t>App\Http\Controllers\MitraEventOnboardingController@submitVerification</t>
        </is>
      </c>
      <c r="G445" t="inlineStr" s="4">
        <is>
          <t>web, Illuminate\Auth\Middleware\Authenticate, Illuminate\Auth\Middleware\EnsureEmailIsVerified, App\Http\Middleware\EnsureMitra, App\Http\Middleware\LogUserActivity, App\Http\Middleware\EnsureMitraEvent</t>
        </is>
      </c>
    </row>
    <row r="446" ht="22" customHeight="1">
      <c r="A446" t="inlineStr" s="4">
        <is>
          <t>GET|HEAD</t>
        </is>
      </c>
      <c r="B446" t="inlineStr" s="4">
        <is>
          <t>mitra/events</t>
        </is>
      </c>
      <c r="C446" t="inlineStr" s="4">
        <is>
          <t>mitra.events.index</t>
        </is>
      </c>
      <c r="D446" t="inlineStr" s="4">
        <is>
          <t>Other / Legacy / Shared</t>
        </is>
      </c>
      <c r="E446" t="inlineStr" s="4">
        <is>
          <t>Mitra</t>
        </is>
      </c>
      <c r="F446" t="inlineStr" s="4">
        <is>
          <t>App\Http\Controllers\Mitra\Event\EventController@index</t>
        </is>
      </c>
      <c r="G446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47" ht="22" customHeight="1">
      <c r="A447" t="inlineStr" s="4">
        <is>
          <t>POST</t>
        </is>
      </c>
      <c r="B447" t="inlineStr" s="4">
        <is>
          <t>mitra/events</t>
        </is>
      </c>
      <c r="C447" t="inlineStr" s="4">
        <is>
          <t>mitra.events.store</t>
        </is>
      </c>
      <c r="D447" t="inlineStr" s="4">
        <is>
          <t>Other / Legacy / Shared</t>
        </is>
      </c>
      <c r="E447" t="inlineStr" s="4">
        <is>
          <t>Mitra</t>
        </is>
      </c>
      <c r="F447" t="inlineStr" s="4">
        <is>
          <t>App\Http\Controllers\Mitra\Event\EventController@store</t>
        </is>
      </c>
      <c r="G447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48" ht="22" customHeight="1">
      <c r="A448" t="inlineStr" s="4">
        <is>
          <t>GET|HEAD</t>
        </is>
      </c>
      <c r="B448" t="inlineStr" s="4">
        <is>
          <t>mitra/events/attendees</t>
        </is>
      </c>
      <c r="C448" t="inlineStr" s="4">
        <is>
          <t>mitra.events.attendees.index</t>
        </is>
      </c>
      <c r="D448" t="inlineStr" s="4">
        <is>
          <t>Other / Legacy / Shared</t>
        </is>
      </c>
      <c r="E448" t="inlineStr" s="4">
        <is>
          <t>Mitra</t>
        </is>
      </c>
      <c r="F448" t="inlineStr" s="4">
        <is>
          <t>App\Http\Controllers\Mitra\Event\AttendeeController@index</t>
        </is>
      </c>
      <c r="G448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49" ht="22" customHeight="1">
      <c r="A449" t="inlineStr" s="4">
        <is>
          <t>GET|HEAD</t>
        </is>
      </c>
      <c r="B449" t="inlineStr" s="4">
        <is>
          <t>mitra/events/bookings</t>
        </is>
      </c>
      <c r="C449" t="inlineStr" s="4">
        <is>
          <t>mitra.events.bookings.index</t>
        </is>
      </c>
      <c r="D449" t="inlineStr" s="4">
        <is>
          <t>Other / Legacy / Shared</t>
        </is>
      </c>
      <c r="E449" t="inlineStr" s="4">
        <is>
          <t>Mitra</t>
        </is>
      </c>
      <c r="F449" t="inlineStr" s="4">
        <is>
          <t>App\Http\Controllers\Mitra\Event\BookingController@index</t>
        </is>
      </c>
      <c r="G449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50" ht="22" customHeight="1">
      <c r="A450" t="inlineStr" s="4">
        <is>
          <t>GET|HEAD</t>
        </is>
      </c>
      <c r="B450" t="inlineStr" s="4">
        <is>
          <t>mitra/events/bookings/{booking}</t>
        </is>
      </c>
      <c r="C450" t="inlineStr" s="4">
        <is>
          <t>mitra.events.bookings.show</t>
        </is>
      </c>
      <c r="D450" t="inlineStr" s="4">
        <is>
          <t>Other / Legacy / Shared</t>
        </is>
      </c>
      <c r="E450" t="inlineStr" s="4">
        <is>
          <t>Mitra</t>
        </is>
      </c>
      <c r="F450" t="inlineStr" s="4">
        <is>
          <t>App\Http\Controllers\Mitra\Event\BookingController@show</t>
        </is>
      </c>
      <c r="G450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51" ht="22" customHeight="1">
      <c r="A451" t="inlineStr" s="4">
        <is>
          <t>GET|HEAD</t>
        </is>
      </c>
      <c r="B451" t="inlineStr" s="4">
        <is>
          <t>mitra/events/create</t>
        </is>
      </c>
      <c r="C451" t="inlineStr" s="4">
        <is>
          <t>mitra.events.create</t>
        </is>
      </c>
      <c r="D451" t="inlineStr" s="4">
        <is>
          <t>Other / Legacy / Shared</t>
        </is>
      </c>
      <c r="E451" t="inlineStr" s="4">
        <is>
          <t>Mitra</t>
        </is>
      </c>
      <c r="F451" t="inlineStr" s="4">
        <is>
          <t>App\Http\Controllers\Mitra\Event\EventController@create</t>
        </is>
      </c>
      <c r="G451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52" ht="22" customHeight="1">
      <c r="A452" t="inlineStr" s="4">
        <is>
          <t>GET|HEAD</t>
        </is>
      </c>
      <c r="B452" t="inlineStr" s="4">
        <is>
          <t>mitra/events/disputes</t>
        </is>
      </c>
      <c r="C452" t="inlineStr" s="4">
        <is>
          <t>mitra.events.disputes.index</t>
        </is>
      </c>
      <c r="D452" t="inlineStr" s="4">
        <is>
          <t>Other / Legacy / Shared</t>
        </is>
      </c>
      <c r="E452" t="inlineStr" s="4">
        <is>
          <t>Mitra</t>
        </is>
      </c>
      <c r="F452" t="inlineStr" s="4">
        <is>
          <t>App\Http\Controllers\Mitra\Event\DisputeController@index</t>
        </is>
      </c>
      <c r="G452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53" ht="22" customHeight="1">
      <c r="A453" t="inlineStr" s="4">
        <is>
          <t>POST</t>
        </is>
      </c>
      <c r="B453" t="inlineStr" s="4">
        <is>
          <t>mitra/events/disputes</t>
        </is>
      </c>
      <c r="C453" t="inlineStr" s="4">
        <is>
          <t>mitra.events.disputes.store</t>
        </is>
      </c>
      <c r="D453" t="inlineStr" s="4">
        <is>
          <t>Other / Legacy / Shared</t>
        </is>
      </c>
      <c r="E453" t="inlineStr" s="4">
        <is>
          <t>Mitra</t>
        </is>
      </c>
      <c r="F453" t="inlineStr" s="4">
        <is>
          <t>App\Http\Controllers\Mitra\Event\DisputeController@store</t>
        </is>
      </c>
      <c r="G453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54" ht="22" customHeight="1">
      <c r="A454" t="inlineStr" s="4">
        <is>
          <t>GET|HEAD</t>
        </is>
      </c>
      <c r="B454" t="inlineStr" s="4">
        <is>
          <t>mitra/events/finance/payouts</t>
        </is>
      </c>
      <c r="C454" t="inlineStr" s="4">
        <is>
          <t>mitra.events.finance.payouts</t>
        </is>
      </c>
      <c r="D454" t="inlineStr" s="4">
        <is>
          <t>Other / Legacy / Shared</t>
        </is>
      </c>
      <c r="E454" t="inlineStr" s="4">
        <is>
          <t>Mitra</t>
        </is>
      </c>
      <c r="F454" t="inlineStr" s="4">
        <is>
          <t>App\Http\Controllers\Mitra\Event\FinanceController@payouts</t>
        </is>
      </c>
      <c r="G454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55" ht="22" customHeight="1">
      <c r="A455" t="inlineStr" s="4">
        <is>
          <t>GET|HEAD</t>
        </is>
      </c>
      <c r="B455" t="inlineStr" s="4">
        <is>
          <t>mitra/events/finance/summary</t>
        </is>
      </c>
      <c r="C455" t="inlineStr" s="4">
        <is>
          <t>mitra.events.finance.summary</t>
        </is>
      </c>
      <c r="D455" t="inlineStr" s="4">
        <is>
          <t>Other / Legacy / Shared</t>
        </is>
      </c>
      <c r="E455" t="inlineStr" s="4">
        <is>
          <t>Mitra</t>
        </is>
      </c>
      <c r="F455" t="inlineStr" s="4">
        <is>
          <t>App\Http\Controllers\Mitra\Event\FinanceController@summary</t>
        </is>
      </c>
      <c r="G455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56" ht="22" customHeight="1">
      <c r="A456" t="inlineStr" s="4">
        <is>
          <t>GET|HEAD</t>
        </is>
      </c>
      <c r="B456" t="inlineStr" s="4">
        <is>
          <t>mitra/events/notifications</t>
        </is>
      </c>
      <c r="C456" t="inlineStr" s="4">
        <is>
          <t>mitra.events.notifications.index</t>
        </is>
      </c>
      <c r="D456" t="inlineStr" s="4">
        <is>
          <t>Other / Legacy / Shared</t>
        </is>
      </c>
      <c r="E456" t="inlineStr" s="4">
        <is>
          <t>Mitra</t>
        </is>
      </c>
      <c r="F456" t="inlineStr" s="4">
        <is>
          <t>App\Http\Controllers\Mitra\Event\NotificationController@index</t>
        </is>
      </c>
      <c r="G456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57" ht="22" customHeight="1">
      <c r="A457" t="inlineStr" s="4">
        <is>
          <t>GET|HEAD</t>
        </is>
      </c>
      <c r="B457" t="inlineStr" s="4">
        <is>
          <t>mitra/events/reviews</t>
        </is>
      </c>
      <c r="C457" t="inlineStr" s="4">
        <is>
          <t>mitra.events.reviews.index</t>
        </is>
      </c>
      <c r="D457" t="inlineStr" s="4">
        <is>
          <t>Other / Legacy / Shared</t>
        </is>
      </c>
      <c r="E457" t="inlineStr" s="4">
        <is>
          <t>Mitra</t>
        </is>
      </c>
      <c r="F457" t="inlineStr" s="4">
        <is>
          <t>App\Http\Controllers\Mitra\ReviewController@index</t>
        </is>
      </c>
      <c r="G457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58" ht="22" customHeight="1">
      <c r="A458" t="inlineStr" s="4">
        <is>
          <t>DELETE</t>
        </is>
      </c>
      <c r="B458" t="inlineStr" s="4">
        <is>
          <t>mitra/events/reviews/{review}</t>
        </is>
      </c>
      <c r="C458" t="inlineStr" s="4">
        <is>
          <t>mitra.events.reviews.destroy</t>
        </is>
      </c>
      <c r="D458" t="inlineStr" s="4">
        <is>
          <t>Other / Legacy / Shared</t>
        </is>
      </c>
      <c r="E458" t="inlineStr" s="4">
        <is>
          <t>Mitra</t>
        </is>
      </c>
      <c r="F458" t="inlineStr" s="4">
        <is>
          <t>App\Http\Controllers\Mitra\ReviewController@destroy</t>
        </is>
      </c>
      <c r="G458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59" ht="22" customHeight="1">
      <c r="A459" t="inlineStr" s="4">
        <is>
          <t>POST</t>
        </is>
      </c>
      <c r="B459" t="inlineStr" s="4">
        <is>
          <t>mitra/events/reviews/{review}/reply</t>
        </is>
      </c>
      <c r="C459" t="inlineStr" s="4">
        <is>
          <t>mitra.events.reviews.reply</t>
        </is>
      </c>
      <c r="D459" t="inlineStr" s="4">
        <is>
          <t>Other / Legacy / Shared</t>
        </is>
      </c>
      <c r="E459" t="inlineStr" s="4">
        <is>
          <t>Mitra</t>
        </is>
      </c>
      <c r="F459" t="inlineStr" s="4">
        <is>
          <t>App\Http\Controllers\Mitra\ReviewController@reply</t>
        </is>
      </c>
      <c r="G459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60" ht="22" customHeight="1">
      <c r="A460" t="inlineStr" s="4">
        <is>
          <t>GET|HEAD</t>
        </is>
      </c>
      <c r="B460" t="inlineStr" s="4">
        <is>
          <t>mitra/events/scans</t>
        </is>
      </c>
      <c r="C460" t="inlineStr" s="4">
        <is>
          <t>mitra.events.scans.index</t>
        </is>
      </c>
      <c r="D460" t="inlineStr" s="4">
        <is>
          <t>Other / Legacy / Shared</t>
        </is>
      </c>
      <c r="E460" t="inlineStr" s="4">
        <is>
          <t>Mitra</t>
        </is>
      </c>
      <c r="F460" t="inlineStr" s="4">
        <is>
          <t>App\Http\Controllers\Mitra\Event\ScanController@index</t>
        </is>
      </c>
      <c r="G460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61" ht="22" customHeight="1">
      <c r="A461" t="inlineStr" s="4">
        <is>
          <t>POST</t>
        </is>
      </c>
      <c r="B461" t="inlineStr" s="4">
        <is>
          <t>mitra/events/scans</t>
        </is>
      </c>
      <c r="C461" t="inlineStr" s="4">
        <is>
          <t>mitra.events.scans.store</t>
        </is>
      </c>
      <c r="D461" t="inlineStr" s="4">
        <is>
          <t>Other / Legacy / Shared</t>
        </is>
      </c>
      <c r="E461" t="inlineStr" s="4">
        <is>
          <t>Mitra</t>
        </is>
      </c>
      <c r="F461" t="inlineStr" s="4">
        <is>
          <t>App\Http\Controllers\Mitra\Event\ScanController@store</t>
        </is>
      </c>
      <c r="G461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62" ht="22" customHeight="1">
      <c r="A462" t="inlineStr" s="4">
        <is>
          <t>GET|HEAD</t>
        </is>
      </c>
      <c r="B462" t="inlineStr" s="4">
        <is>
          <t>mitra/events/tickets</t>
        </is>
      </c>
      <c r="C462" t="inlineStr" s="4">
        <is>
          <t>mitra.events.tickets.index</t>
        </is>
      </c>
      <c r="D462" t="inlineStr" s="4">
        <is>
          <t>Other / Legacy / Shared</t>
        </is>
      </c>
      <c r="E462" t="inlineStr" s="4">
        <is>
          <t>Mitra</t>
        </is>
      </c>
      <c r="F462" t="inlineStr" s="4">
        <is>
          <t>App\Http\Controllers\Mitra\Event\TicketController@index</t>
        </is>
      </c>
      <c r="G462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63" ht="22" customHeight="1">
      <c r="A463" t="inlineStr" s="4">
        <is>
          <t>POST</t>
        </is>
      </c>
      <c r="B463" t="inlineStr" s="4">
        <is>
          <t>mitra/events/tickets</t>
        </is>
      </c>
      <c r="C463" t="inlineStr" s="4">
        <is>
          <t>mitra.events.tickets.store</t>
        </is>
      </c>
      <c r="D463" t="inlineStr" s="4">
        <is>
          <t>Other / Legacy / Shared</t>
        </is>
      </c>
      <c r="E463" t="inlineStr" s="4">
        <is>
          <t>Mitra</t>
        </is>
      </c>
      <c r="F463" t="inlineStr" s="4">
        <is>
          <t>App\Http\Controllers\Mitra\Event\TicketController@store</t>
        </is>
      </c>
      <c r="G463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64" ht="22" customHeight="1">
      <c r="A464" t="inlineStr" s="4">
        <is>
          <t>GET|HEAD</t>
        </is>
      </c>
      <c r="B464" t="inlineStr" s="4">
        <is>
          <t>mitra/events/tickets/create</t>
        </is>
      </c>
      <c r="C464" t="inlineStr" s="4">
        <is>
          <t>mitra.events.tickets.create</t>
        </is>
      </c>
      <c r="D464" t="inlineStr" s="4">
        <is>
          <t>Other / Legacy / Shared</t>
        </is>
      </c>
      <c r="E464" t="inlineStr" s="4">
        <is>
          <t>Mitra</t>
        </is>
      </c>
      <c r="F464" t="inlineStr" s="4">
        <is>
          <t>App\Http\Controllers\Mitra\Event\TicketController@create</t>
        </is>
      </c>
      <c r="G464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65" ht="22" customHeight="1">
      <c r="A465" t="inlineStr" s="4">
        <is>
          <t>PUT</t>
        </is>
      </c>
      <c r="B465" t="inlineStr" s="4">
        <is>
          <t>mitra/events/tickets/{ticket}</t>
        </is>
      </c>
      <c r="C465" t="inlineStr" s="4">
        <is>
          <t>mitra.events.tickets.update</t>
        </is>
      </c>
      <c r="D465" t="inlineStr" s="4">
        <is>
          <t>Other / Legacy / Shared</t>
        </is>
      </c>
      <c r="E465" t="inlineStr" s="4">
        <is>
          <t>Mitra</t>
        </is>
      </c>
      <c r="F465" t="inlineStr" s="4">
        <is>
          <t>App\Http\Controllers\Mitra\Event\TicketController@update</t>
        </is>
      </c>
      <c r="G465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66" ht="22" customHeight="1">
      <c r="A466" t="inlineStr" s="4">
        <is>
          <t>DELETE</t>
        </is>
      </c>
      <c r="B466" t="inlineStr" s="4">
        <is>
          <t>mitra/events/tickets/{ticket}</t>
        </is>
      </c>
      <c r="C466" t="inlineStr" s="4">
        <is>
          <t>mitra.events.tickets.destroy</t>
        </is>
      </c>
      <c r="D466" t="inlineStr" s="4">
        <is>
          <t>Other / Legacy / Shared</t>
        </is>
      </c>
      <c r="E466" t="inlineStr" s="4">
        <is>
          <t>Mitra</t>
        </is>
      </c>
      <c r="F466" t="inlineStr" s="4">
        <is>
          <t>App\Http\Controllers\Mitra\Event\TicketController@destroy</t>
        </is>
      </c>
      <c r="G466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67" ht="22" customHeight="1">
      <c r="A467" t="inlineStr" s="4">
        <is>
          <t>GET|HEAD</t>
        </is>
      </c>
      <c r="B467" t="inlineStr" s="4">
        <is>
          <t>mitra/events/{event}</t>
        </is>
      </c>
      <c r="C467" t="inlineStr" s="4">
        <is>
          <t>mitra.events.show</t>
        </is>
      </c>
      <c r="D467" t="inlineStr" s="4">
        <is>
          <t>Other / Legacy / Shared</t>
        </is>
      </c>
      <c r="E467" t="inlineStr" s="4">
        <is>
          <t>Mitra</t>
        </is>
      </c>
      <c r="F467" t="inlineStr" s="4">
        <is>
          <t>App\Http\Controllers\Mitra\Event\EventController@show</t>
        </is>
      </c>
      <c r="G467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68" ht="22" customHeight="1">
      <c r="A468" t="inlineStr" s="4">
        <is>
          <t>PUT</t>
        </is>
      </c>
      <c r="B468" t="inlineStr" s="4">
        <is>
          <t>mitra/events/{event}</t>
        </is>
      </c>
      <c r="C468" t="inlineStr" s="4">
        <is>
          <t>mitra.events.update</t>
        </is>
      </c>
      <c r="D468" t="inlineStr" s="4">
        <is>
          <t>Other / Legacy / Shared</t>
        </is>
      </c>
      <c r="E468" t="inlineStr" s="4">
        <is>
          <t>Mitra</t>
        </is>
      </c>
      <c r="F468" t="inlineStr" s="4">
        <is>
          <t>App\Http\Controllers\Mitra\Event\EventController@update</t>
        </is>
      </c>
      <c r="G468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69" ht="22" customHeight="1">
      <c r="A469" t="inlineStr" s="4">
        <is>
          <t>GET|HEAD</t>
        </is>
      </c>
      <c r="B469" t="inlineStr" s="4">
        <is>
          <t>mitra/events/{event}/edit</t>
        </is>
      </c>
      <c r="C469" t="inlineStr" s="4">
        <is>
          <t>mitra.events.edit</t>
        </is>
      </c>
      <c r="D469" t="inlineStr" s="4">
        <is>
          <t>Other / Legacy / Shared</t>
        </is>
      </c>
      <c r="E469" t="inlineStr" s="4">
        <is>
          <t>Mitra</t>
        </is>
      </c>
      <c r="F469" t="inlineStr" s="4">
        <is>
          <t>App\Http\Controllers\Mitra\Event\EventController@edit</t>
        </is>
      </c>
      <c r="G469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70" ht="22" customHeight="1">
      <c r="A470" t="inlineStr" s="4">
        <is>
          <t>POST</t>
        </is>
      </c>
      <c r="B470" t="inlineStr" s="4">
        <is>
          <t>mitra/events/{event}/submit</t>
        </is>
      </c>
      <c r="C470" t="inlineStr" s="4">
        <is>
          <t>mitra.events.submit</t>
        </is>
      </c>
      <c r="D470" t="inlineStr" s="4">
        <is>
          <t>Other / Legacy / Shared</t>
        </is>
      </c>
      <c r="E470" t="inlineStr" s="4">
        <is>
          <t>Mitra</t>
        </is>
      </c>
      <c r="F470" t="inlineStr" s="4">
        <is>
          <t>App\Http\Controllers\Mitra\Event\EventController@submit</t>
        </is>
      </c>
      <c r="G470" t="inlineStr" s="4">
        <is>
          <t>web, Illuminate\Auth\Middleware\Authenticate, Illuminate\Auth\Middleware\EnsureEmailIsVerified, App\Http\Middleware\EnsureMitra, App\Http\Middleware\EnsureMitraEvent, App\Http\Middleware\LogUserActivity</t>
        </is>
      </c>
    </row>
    <row r="471" ht="22" customHeight="1">
      <c r="A471" t="inlineStr" s="4">
        <is>
          <t>GET|HEAD</t>
        </is>
      </c>
      <c r="B471" t="inlineStr" s="4">
        <is>
          <t>mitra/finance/bank</t>
        </is>
      </c>
      <c r="C471" t="inlineStr" s="4">
        <is>
          <t>mitra.finance.bank.edit</t>
        </is>
      </c>
      <c r="D471" t="inlineStr" s="4">
        <is>
          <t>Other / Legacy / Shared</t>
        </is>
      </c>
      <c r="E471" t="inlineStr" s="4">
        <is>
          <t>Mitra</t>
        </is>
      </c>
      <c r="F471" t="inlineStr" s="4">
        <is>
          <t>App\Http\Controllers\Mitra\BankAccountController@edit</t>
        </is>
      </c>
      <c r="G471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72" ht="22" customHeight="1">
      <c r="A472" t="inlineStr" s="4">
        <is>
          <t>PATCH</t>
        </is>
      </c>
      <c r="B472" t="inlineStr" s="4">
        <is>
          <t>mitra/finance/bank</t>
        </is>
      </c>
      <c r="C472" t="inlineStr" s="4">
        <is>
          <t>mitra.finance.bank.update</t>
        </is>
      </c>
      <c r="D472" t="inlineStr" s="4">
        <is>
          <t>Other / Legacy / Shared</t>
        </is>
      </c>
      <c r="E472" t="inlineStr" s="4">
        <is>
          <t>Mitra</t>
        </is>
      </c>
      <c r="F472" t="inlineStr" s="4">
        <is>
          <t>App\Http\Controllers\Mitra\BankAccountController@update</t>
        </is>
      </c>
      <c r="G472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73" ht="22" customHeight="1">
      <c r="A473" t="inlineStr" s="4">
        <is>
          <t>GET|HEAD</t>
        </is>
      </c>
      <c r="B473" t="inlineStr" s="4">
        <is>
          <t>mitra/finance/payouts</t>
        </is>
      </c>
      <c r="C473" t="inlineStr" s="4">
        <is>
          <t>mitra.finance.payouts</t>
        </is>
      </c>
      <c r="D473" t="inlineStr" s="4">
        <is>
          <t>Other / Legacy / Shared</t>
        </is>
      </c>
      <c r="E473" t="inlineStr" s="4">
        <is>
          <t>Mitra</t>
        </is>
      </c>
      <c r="F473" t="inlineStr" s="4">
        <is>
          <t>App\Http\Controllers\Mitra\PayoutController@index</t>
        </is>
      </c>
      <c r="G473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74" ht="22" customHeight="1">
      <c r="A474" t="inlineStr" s="4">
        <is>
          <t>GET|HEAD</t>
        </is>
      </c>
      <c r="B474" t="inlineStr" s="4">
        <is>
          <t>mitra/finance/summary</t>
        </is>
      </c>
      <c r="C474" t="inlineStr" s="4">
        <is>
          <t>mitra.finance.summary</t>
        </is>
      </c>
      <c r="D474" t="inlineStr" s="4">
        <is>
          <t>Other / Legacy / Shared</t>
        </is>
      </c>
      <c r="E474" t="inlineStr" s="4">
        <is>
          <t>Mitra</t>
        </is>
      </c>
      <c r="F474" t="inlineStr" s="4">
        <is>
          <t>App\Http\Controllers\Mitra\FinanceSummaryController@index</t>
        </is>
      </c>
      <c r="G474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75" ht="22" customHeight="1">
      <c r="A475" t="inlineStr" s="4">
        <is>
          <t>GET|HEAD</t>
        </is>
      </c>
      <c r="B475" t="inlineStr" s="4">
        <is>
          <t>mitra/hotels</t>
        </is>
      </c>
      <c r="C475" t="inlineStr" s="4">
        <is>
          <t>mitra.hotels.index</t>
        </is>
      </c>
      <c r="D475" t="inlineStr" s="4">
        <is>
          <t>Other / Legacy / Shared</t>
        </is>
      </c>
      <c r="E475" t="inlineStr" s="4">
        <is>
          <t>Mitra</t>
        </is>
      </c>
      <c r="F475" t="inlineStr" s="4">
        <is>
          <t>App\Http\Controllers\Mitra\HotelController@index</t>
        </is>
      </c>
      <c r="G475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76" ht="22" customHeight="1">
      <c r="A476" t="inlineStr" s="4">
        <is>
          <t>POST</t>
        </is>
      </c>
      <c r="B476" t="inlineStr" s="4">
        <is>
          <t>mitra/hotels</t>
        </is>
      </c>
      <c r="C476" t="inlineStr" s="4">
        <is>
          <t>mitra.hotels.store</t>
        </is>
      </c>
      <c r="D476" t="inlineStr" s="4">
        <is>
          <t>Other / Legacy / Shared</t>
        </is>
      </c>
      <c r="E476" t="inlineStr" s="4">
        <is>
          <t>Mitra</t>
        </is>
      </c>
      <c r="F476" t="inlineStr" s="4">
        <is>
          <t>App\Http\Controllers\Mitra\HotelController@store</t>
        </is>
      </c>
      <c r="G476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77" ht="22" customHeight="1">
      <c r="A477" t="inlineStr" s="4">
        <is>
          <t>GET|HEAD</t>
        </is>
      </c>
      <c r="B477" t="inlineStr" s="4">
        <is>
          <t>mitra/hotels/create</t>
        </is>
      </c>
      <c r="C477" t="inlineStr" s="4">
        <is>
          <t>mitra.hotels.create</t>
        </is>
      </c>
      <c r="D477" t="inlineStr" s="4">
        <is>
          <t>Other / Legacy / Shared</t>
        </is>
      </c>
      <c r="E477" t="inlineStr" s="4">
        <is>
          <t>Mitra</t>
        </is>
      </c>
      <c r="F477" t="inlineStr" s="4">
        <is>
          <t>App\Http\Controllers\Mitra\HotelController@create</t>
        </is>
      </c>
      <c r="G477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78" ht="22" customHeight="1">
      <c r="A478" t="inlineStr" s="4">
        <is>
          <t>PUT|PATCH</t>
        </is>
      </c>
      <c r="B478" t="inlineStr" s="4">
        <is>
          <t>mitra/hotels/{hotel}</t>
        </is>
      </c>
      <c r="C478" t="inlineStr" s="4">
        <is>
          <t>mitra.hotels.update</t>
        </is>
      </c>
      <c r="D478" t="inlineStr" s="4">
        <is>
          <t>Other / Legacy / Shared</t>
        </is>
      </c>
      <c r="E478" t="inlineStr" s="4">
        <is>
          <t>Mitra</t>
        </is>
      </c>
      <c r="F478" t="inlineStr" s="4">
        <is>
          <t>App\Http\Controllers\Mitra\HotelController@update</t>
        </is>
      </c>
      <c r="G478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79" ht="22" customHeight="1">
      <c r="A479" t="inlineStr" s="4">
        <is>
          <t>DELETE</t>
        </is>
      </c>
      <c r="B479" t="inlineStr" s="4">
        <is>
          <t>mitra/hotels/{hotel}</t>
        </is>
      </c>
      <c r="C479" t="inlineStr" s="4">
        <is>
          <t>mitra.hotels.destroy</t>
        </is>
      </c>
      <c r="D479" t="inlineStr" s="4">
        <is>
          <t>Other / Legacy / Shared</t>
        </is>
      </c>
      <c r="E479" t="inlineStr" s="4">
        <is>
          <t>Mitra</t>
        </is>
      </c>
      <c r="F479" t="inlineStr" s="4">
        <is>
          <t>App\Http\Controllers\Mitra\HotelController@destroy</t>
        </is>
      </c>
      <c r="G479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80" ht="22" customHeight="1">
      <c r="A480" t="inlineStr" s="4">
        <is>
          <t>GET|HEAD</t>
        </is>
      </c>
      <c r="B480" t="inlineStr" s="4">
        <is>
          <t>mitra/hotels/{hotel}/edit</t>
        </is>
      </c>
      <c r="C480" t="inlineStr" s="4">
        <is>
          <t>mitra.hotels.edit</t>
        </is>
      </c>
      <c r="D480" t="inlineStr" s="4">
        <is>
          <t>Other / Legacy / Shared</t>
        </is>
      </c>
      <c r="E480" t="inlineStr" s="4">
        <is>
          <t>Mitra</t>
        </is>
      </c>
      <c r="F480" t="inlineStr" s="4">
        <is>
          <t>App\Http\Controllers\Mitra\HotelController@edit</t>
        </is>
      </c>
      <c r="G480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81" ht="22" customHeight="1">
      <c r="A481" t="inlineStr" s="4">
        <is>
          <t>DELETE</t>
        </is>
      </c>
      <c r="B481" t="inlineStr" s="4">
        <is>
          <t>mitra/hotels/{hotel}/images/{hotelImage}</t>
        </is>
      </c>
      <c r="C481" t="inlineStr" s="4">
        <is>
          <t>mitra.hotels.images.destroy</t>
        </is>
      </c>
      <c r="D481" t="inlineStr" s="4">
        <is>
          <t>Other / Legacy / Shared</t>
        </is>
      </c>
      <c r="E481" t="inlineStr" s="4">
        <is>
          <t>Mitra</t>
        </is>
      </c>
      <c r="F481" t="inlineStr" s="4">
        <is>
          <t>App\Http\Controllers\Mitra\HotelController@destroyImage</t>
        </is>
      </c>
      <c r="G481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82" ht="22" customHeight="1">
      <c r="A482" t="inlineStr" s="4">
        <is>
          <t>GET|HEAD</t>
        </is>
      </c>
      <c r="B482" t="inlineStr" s="4">
        <is>
          <t>mitra/occupancy</t>
        </is>
      </c>
      <c r="C482" t="inlineStr" s="4">
        <is>
          <t>mitra.occupancy.index</t>
        </is>
      </c>
      <c r="D482" t="inlineStr" s="4">
        <is>
          <t>Other / Legacy / Shared</t>
        </is>
      </c>
      <c r="E482" t="inlineStr" s="4">
        <is>
          <t>Mitra</t>
        </is>
      </c>
      <c r="F482" t="inlineStr" s="4">
        <is>
          <t>App\Http\Controllers\Mitra\OccupancyController@index</t>
        </is>
      </c>
      <c r="G482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83" ht="22" customHeight="1">
      <c r="A483" t="inlineStr" s="4">
        <is>
          <t>GET|HEAD</t>
        </is>
      </c>
      <c r="B483" t="inlineStr" s="4">
        <is>
          <t>mitra/onboarding</t>
        </is>
      </c>
      <c r="C483" t="inlineStr" s="4">
        <is>
          <t>mitra.onboarding</t>
        </is>
      </c>
      <c r="D483" t="inlineStr" s="4">
        <is>
          <t>Other / Legacy / Shared</t>
        </is>
      </c>
      <c r="E483" t="inlineStr" s="4">
        <is>
          <t>Mitra</t>
        </is>
      </c>
      <c r="F483" t="inlineStr" s="4">
        <is>
          <t>App\Http\Controllers\MitraOnboardingController@show</t>
        </is>
      </c>
      <c r="G483" t="inlineStr" s="4">
        <is>
          <t>web, Illuminate\Auth\Middleware\Authenticate, Illuminate\Auth\Middleware\EnsureEmailIsVerified, App\Http\Middleware\EnsureMitra, App\Http\Middleware\LogUserActivity, App\Http\Middleware\EnsureMitraHotel</t>
        </is>
      </c>
    </row>
    <row r="484" ht="22" customHeight="1">
      <c r="A484" t="inlineStr" s="4">
        <is>
          <t>PATCH|POST</t>
        </is>
      </c>
      <c r="B484" t="inlineStr" s="4">
        <is>
          <t>mitra/onboarding/step-1</t>
        </is>
      </c>
      <c r="C484" t="inlineStr" s="4">
        <is>
          <t>mitra.onboarding.step1</t>
        </is>
      </c>
      <c r="D484" t="inlineStr" s="4">
        <is>
          <t>Other / Legacy / Shared</t>
        </is>
      </c>
      <c r="E484" t="inlineStr" s="4">
        <is>
          <t>Mitra</t>
        </is>
      </c>
      <c r="F484" t="inlineStr" s="4">
        <is>
          <t>App\Http\Controllers\MitraOnboardingController@updateStepOne</t>
        </is>
      </c>
      <c r="G484" t="inlineStr" s="4">
        <is>
          <t>web, Illuminate\Auth\Middleware\Authenticate, Illuminate\Auth\Middleware\EnsureEmailIsVerified, App\Http\Middleware\EnsureMitra, App\Http\Middleware\LogUserActivity, App\Http\Middleware\EnsureMitraHotel</t>
        </is>
      </c>
    </row>
    <row r="485" ht="22" customHeight="1">
      <c r="A485" t="inlineStr" s="4">
        <is>
          <t>PATCH|POST</t>
        </is>
      </c>
      <c r="B485" t="inlineStr" s="4">
        <is>
          <t>mitra/onboarding/step-2</t>
        </is>
      </c>
      <c r="C485" t="inlineStr" s="4">
        <is>
          <t>mitra.onboarding.step2</t>
        </is>
      </c>
      <c r="D485" t="inlineStr" s="4">
        <is>
          <t>Other / Legacy / Shared</t>
        </is>
      </c>
      <c r="E485" t="inlineStr" s="4">
        <is>
          <t>Mitra</t>
        </is>
      </c>
      <c r="F485" t="inlineStr" s="4">
        <is>
          <t>App\Http\Controllers\MitraOnboardingController@updateStepTwo</t>
        </is>
      </c>
      <c r="G485" t="inlineStr" s="4">
        <is>
          <t>web, Illuminate\Auth\Middleware\Authenticate, Illuminate\Auth\Middleware\EnsureEmailIsVerified, App\Http\Middleware\EnsureMitra, App\Http\Middleware\LogUserActivity, App\Http\Middleware\EnsureMitraHotel</t>
        </is>
      </c>
    </row>
    <row r="486" ht="22" customHeight="1">
      <c r="A486" t="inlineStr" s="4">
        <is>
          <t>PATCH|POST</t>
        </is>
      </c>
      <c r="B486" t="inlineStr" s="4">
        <is>
          <t>mitra/onboarding/step-3</t>
        </is>
      </c>
      <c r="C486" t="inlineStr" s="4">
        <is>
          <t>mitra.onboarding.step3</t>
        </is>
      </c>
      <c r="D486" t="inlineStr" s="4">
        <is>
          <t>Other / Legacy / Shared</t>
        </is>
      </c>
      <c r="E486" t="inlineStr" s="4">
        <is>
          <t>Mitra</t>
        </is>
      </c>
      <c r="F486" t="inlineStr" s="4">
        <is>
          <t>App\Http\Controllers\MitraOnboardingController@updateStepThree</t>
        </is>
      </c>
      <c r="G486" t="inlineStr" s="4">
        <is>
          <t>web, Illuminate\Auth\Middleware\Authenticate, Illuminate\Auth\Middleware\EnsureEmailIsVerified, App\Http\Middleware\EnsureMitra, App\Http\Middleware\LogUserActivity, App\Http\Middleware\EnsureMitraHotel</t>
        </is>
      </c>
    </row>
    <row r="487" ht="22" customHeight="1">
      <c r="A487" t="inlineStr" s="4">
        <is>
          <t>POST</t>
        </is>
      </c>
      <c r="B487" t="inlineStr" s="4">
        <is>
          <t>mitra/onboarding/submit-payout</t>
        </is>
      </c>
      <c r="C487" t="inlineStr" s="4">
        <is>
          <t>mitra.onboarding.submitPayout</t>
        </is>
      </c>
      <c r="D487" t="inlineStr" s="4">
        <is>
          <t>Other / Legacy / Shared</t>
        </is>
      </c>
      <c r="E487" t="inlineStr" s="4">
        <is>
          <t>Mitra</t>
        </is>
      </c>
      <c r="F487" t="inlineStr" s="4">
        <is>
          <t>App\Http\Controllers\MitraOnboardingController@submitPayout</t>
        </is>
      </c>
      <c r="G487" t="inlineStr" s="4">
        <is>
          <t>web, Illuminate\Auth\Middleware\Authenticate, Illuminate\Auth\Middleware\EnsureEmailIsVerified, App\Http\Middleware\EnsureMitra, App\Http\Middleware\LogUserActivity, App\Http\Middleware\EnsureMitraHotel</t>
        </is>
      </c>
    </row>
    <row r="488" ht="22" customHeight="1">
      <c r="A488" t="inlineStr" s="4">
        <is>
          <t>POST</t>
        </is>
      </c>
      <c r="B488" t="inlineStr" s="4">
        <is>
          <t>mitra/onboarding/submit-verification</t>
        </is>
      </c>
      <c r="C488" t="inlineStr" s="4">
        <is>
          <t>mitra.onboarding.submitVerification</t>
        </is>
      </c>
      <c r="D488" t="inlineStr" s="4">
        <is>
          <t>Other / Legacy / Shared</t>
        </is>
      </c>
      <c r="E488" t="inlineStr" s="4">
        <is>
          <t>Mitra</t>
        </is>
      </c>
      <c r="F488" t="inlineStr" s="4">
        <is>
          <t>App\Http\Controllers\MitraOnboardingController@submitVerification</t>
        </is>
      </c>
      <c r="G488" t="inlineStr" s="4">
        <is>
          <t>web, Illuminate\Auth\Middleware\Authenticate, Illuminate\Auth\Middleware\EnsureEmailIsVerified, App\Http\Middleware\EnsureMitra, App\Http\Middleware\LogUserActivity, App\Http\Middleware\EnsureMitraHotel</t>
        </is>
      </c>
    </row>
    <row r="489" ht="22" customHeight="1">
      <c r="A489" t="inlineStr" s="4">
        <is>
          <t>POST</t>
        </is>
      </c>
      <c r="B489" t="inlineStr" s="4">
        <is>
          <t>mitra/onboarding/type</t>
        </is>
      </c>
      <c r="C489" t="inlineStr" s="4">
        <is>
          <t>mitra.onboarding.type</t>
        </is>
      </c>
      <c r="D489" t="inlineStr" s="4">
        <is>
          <t>Other / Legacy / Shared</t>
        </is>
      </c>
      <c r="E489" t="inlineStr" s="4">
        <is>
          <t>Mitra</t>
        </is>
      </c>
      <c r="F489" t="inlineStr" s="4">
        <is>
          <t>App\Http\Controllers\MitraOnboardingController@selectType</t>
        </is>
      </c>
      <c r="G489" t="inlineStr" s="4">
        <is>
          <t>web, Illuminate\Auth\Middleware\Authenticate, Illuminate\Auth\Middleware\EnsureEmailIsVerified, App\Http\Middleware\EnsureMitra, App\Http\Middleware\LogUserActivity</t>
        </is>
      </c>
    </row>
    <row r="490" ht="22" customHeight="1">
      <c r="A490" t="inlineStr" s="4">
        <is>
          <t>GET|HEAD</t>
        </is>
      </c>
      <c r="B490" t="inlineStr" s="4">
        <is>
          <t>mitra/reviews</t>
        </is>
      </c>
      <c r="C490" t="inlineStr" s="4">
        <is>
          <t>mitra.reviews.index</t>
        </is>
      </c>
      <c r="D490" t="inlineStr" s="4">
        <is>
          <t>Other / Legacy / Shared</t>
        </is>
      </c>
      <c r="E490" t="inlineStr" s="4">
        <is>
          <t>Mitra</t>
        </is>
      </c>
      <c r="F490" t="inlineStr" s="4">
        <is>
          <t>App\Http\Controllers\Mitra\ReviewController@index</t>
        </is>
      </c>
      <c r="G490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91" ht="22" customHeight="1">
      <c r="A491" t="inlineStr" s="4">
        <is>
          <t>DELETE</t>
        </is>
      </c>
      <c r="B491" t="inlineStr" s="4">
        <is>
          <t>mitra/reviews/{review}</t>
        </is>
      </c>
      <c r="C491" t="inlineStr" s="4">
        <is>
          <t>mitra.reviews.destroy</t>
        </is>
      </c>
      <c r="D491" t="inlineStr" s="4">
        <is>
          <t>Other / Legacy / Shared</t>
        </is>
      </c>
      <c r="E491" t="inlineStr" s="4">
        <is>
          <t>Mitra</t>
        </is>
      </c>
      <c r="F491" t="inlineStr" s="4">
        <is>
          <t>App\Http\Controllers\Mitra\ReviewController@destroy</t>
        </is>
      </c>
      <c r="G491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92" ht="22" customHeight="1">
      <c r="A492" t="inlineStr" s="4">
        <is>
          <t>POST</t>
        </is>
      </c>
      <c r="B492" t="inlineStr" s="4">
        <is>
          <t>mitra/reviews/{review}/reply</t>
        </is>
      </c>
      <c r="C492" t="inlineStr" s="4">
        <is>
          <t>mitra.reviews.reply</t>
        </is>
      </c>
      <c r="D492" t="inlineStr" s="4">
        <is>
          <t>Other / Legacy / Shared</t>
        </is>
      </c>
      <c r="E492" t="inlineStr" s="4">
        <is>
          <t>Mitra</t>
        </is>
      </c>
      <c r="F492" t="inlineStr" s="4">
        <is>
          <t>App\Http\Controllers\Mitra\ReviewController@reply</t>
        </is>
      </c>
      <c r="G492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93" ht="22" customHeight="1">
      <c r="A493" t="inlineStr" s="4">
        <is>
          <t>GET|HEAD</t>
        </is>
      </c>
      <c r="B493" t="inlineStr" s="4">
        <is>
          <t>mitra/room-inventories</t>
        </is>
      </c>
      <c r="C493" t="inlineStr" s="4">
        <is>
          <t>mitra.room-inventories.index</t>
        </is>
      </c>
      <c r="D493" t="inlineStr" s="4">
        <is>
          <t>Other / Legacy / Shared</t>
        </is>
      </c>
      <c r="E493" t="inlineStr" s="4">
        <is>
          <t>Mitra</t>
        </is>
      </c>
      <c r="F493" t="inlineStr" s="4">
        <is>
          <t>App\Http\Controllers\Mitra\RoomInventoryController@index</t>
        </is>
      </c>
      <c r="G493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94" ht="22" customHeight="1">
      <c r="A494" t="inlineStr" s="4">
        <is>
          <t>POST</t>
        </is>
      </c>
      <c r="B494" t="inlineStr" s="4">
        <is>
          <t>mitra/room-inventories</t>
        </is>
      </c>
      <c r="C494" t="inlineStr" s="4">
        <is>
          <t>mitra.room-inventories.store</t>
        </is>
      </c>
      <c r="D494" t="inlineStr" s="4">
        <is>
          <t>Other / Legacy / Shared</t>
        </is>
      </c>
      <c r="E494" t="inlineStr" s="4">
        <is>
          <t>Mitra</t>
        </is>
      </c>
      <c r="F494" t="inlineStr" s="4">
        <is>
          <t>App\Http\Controllers\Mitra\RoomInventoryController@store</t>
        </is>
      </c>
      <c r="G494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95" ht="22" customHeight="1">
      <c r="A495" t="inlineStr" s="4">
        <is>
          <t>DELETE</t>
        </is>
      </c>
      <c r="B495" t="inlineStr" s="4">
        <is>
          <t>mitra/room-inventories/bulk</t>
        </is>
      </c>
      <c r="C495" t="inlineStr" s="4">
        <is>
          <t>mitra.room-inventories.bulk-destroy</t>
        </is>
      </c>
      <c r="D495" t="inlineStr" s="4">
        <is>
          <t>Other / Legacy / Shared</t>
        </is>
      </c>
      <c r="E495" t="inlineStr" s="4">
        <is>
          <t>Mitra</t>
        </is>
      </c>
      <c r="F495" t="inlineStr" s="4">
        <is>
          <t>App\Http\Controllers\Mitra\RoomInventoryController@bulkDestroy</t>
        </is>
      </c>
      <c r="G495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96" ht="22" customHeight="1">
      <c r="A496" t="inlineStr" s="4">
        <is>
          <t>GET|HEAD</t>
        </is>
      </c>
      <c r="B496" t="inlineStr" s="4">
        <is>
          <t>mitra/room-inventories/create</t>
        </is>
      </c>
      <c r="C496" t="inlineStr" s="4">
        <is>
          <t>mitra.room-inventories.create</t>
        </is>
      </c>
      <c r="D496" t="inlineStr" s="4">
        <is>
          <t>Other / Legacy / Shared</t>
        </is>
      </c>
      <c r="E496" t="inlineStr" s="4">
        <is>
          <t>Mitra</t>
        </is>
      </c>
      <c r="F496" t="inlineStr" s="4">
        <is>
          <t>App\Http\Controllers\Mitra\RoomInventoryController@create</t>
        </is>
      </c>
      <c r="G496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97" ht="22" customHeight="1">
      <c r="A497" t="inlineStr" s="4">
        <is>
          <t>PUT|PATCH</t>
        </is>
      </c>
      <c r="B497" t="inlineStr" s="4">
        <is>
          <t>mitra/room-inventories/{room_inventory}</t>
        </is>
      </c>
      <c r="C497" t="inlineStr" s="4">
        <is>
          <t>mitra.room-inventories.update</t>
        </is>
      </c>
      <c r="D497" t="inlineStr" s="4">
        <is>
          <t>Other / Legacy / Shared</t>
        </is>
      </c>
      <c r="E497" t="inlineStr" s="4">
        <is>
          <t>Mitra</t>
        </is>
      </c>
      <c r="F497" t="inlineStr" s="4">
        <is>
          <t>App\Http\Controllers\Mitra\RoomInventoryController@update</t>
        </is>
      </c>
      <c r="G497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98" ht="22" customHeight="1">
      <c r="A498" t="inlineStr" s="4">
        <is>
          <t>DELETE</t>
        </is>
      </c>
      <c r="B498" t="inlineStr" s="4">
        <is>
          <t>mitra/room-inventories/{room_inventory}</t>
        </is>
      </c>
      <c r="C498" t="inlineStr" s="4">
        <is>
          <t>mitra.room-inventories.destroy</t>
        </is>
      </c>
      <c r="D498" t="inlineStr" s="4">
        <is>
          <t>Other / Legacy / Shared</t>
        </is>
      </c>
      <c r="E498" t="inlineStr" s="4">
        <is>
          <t>Mitra</t>
        </is>
      </c>
      <c r="F498" t="inlineStr" s="4">
        <is>
          <t>App\Http\Controllers\Mitra\RoomInventoryController@destroy</t>
        </is>
      </c>
      <c r="G498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499" ht="22" customHeight="1">
      <c r="A499" t="inlineStr" s="4">
        <is>
          <t>GET|HEAD</t>
        </is>
      </c>
      <c r="B499" t="inlineStr" s="4">
        <is>
          <t>mitra/room-inventories/{room_inventory}/edit</t>
        </is>
      </c>
      <c r="C499" t="inlineStr" s="4">
        <is>
          <t>mitra.room-inventories.edit</t>
        </is>
      </c>
      <c r="D499" t="inlineStr" s="4">
        <is>
          <t>Other / Legacy / Shared</t>
        </is>
      </c>
      <c r="E499" t="inlineStr" s="4">
        <is>
          <t>Mitra</t>
        </is>
      </c>
      <c r="F499" t="inlineStr" s="4">
        <is>
          <t>App\Http\Controllers\Mitra\RoomInventoryController@edit</t>
        </is>
      </c>
      <c r="G499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500" ht="22" customHeight="1">
      <c r="A500" t="inlineStr" s="4">
        <is>
          <t>GET|HEAD</t>
        </is>
      </c>
      <c r="B500" t="inlineStr" s="4">
        <is>
          <t>mitra/room-types</t>
        </is>
      </c>
      <c r="C500" t="inlineStr" s="4">
        <is>
          <t>mitra.room-types.index</t>
        </is>
      </c>
      <c r="D500" t="inlineStr" s="4">
        <is>
          <t>Other / Legacy / Shared</t>
        </is>
      </c>
      <c r="E500" t="inlineStr" s="4">
        <is>
          <t>Mitra</t>
        </is>
      </c>
      <c r="F500" t="inlineStr" s="4">
        <is>
          <t>App\Http\Controllers\Mitra\RoomTypeController@index</t>
        </is>
      </c>
      <c r="G500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501" ht="22" customHeight="1">
      <c r="A501" t="inlineStr" s="4">
        <is>
          <t>POST</t>
        </is>
      </c>
      <c r="B501" t="inlineStr" s="4">
        <is>
          <t>mitra/room-types</t>
        </is>
      </c>
      <c r="C501" t="inlineStr" s="4">
        <is>
          <t>mitra.room-types.store</t>
        </is>
      </c>
      <c r="D501" t="inlineStr" s="4">
        <is>
          <t>Other / Legacy / Shared</t>
        </is>
      </c>
      <c r="E501" t="inlineStr" s="4">
        <is>
          <t>Mitra</t>
        </is>
      </c>
      <c r="F501" t="inlineStr" s="4">
        <is>
          <t>App\Http\Controllers\Mitra\RoomTypeController@store</t>
        </is>
      </c>
      <c r="G501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502" ht="22" customHeight="1">
      <c r="A502" t="inlineStr" s="4">
        <is>
          <t>GET|HEAD</t>
        </is>
      </c>
      <c r="B502" t="inlineStr" s="4">
        <is>
          <t>mitra/room-types/create</t>
        </is>
      </c>
      <c r="C502" t="inlineStr" s="4">
        <is>
          <t>mitra.room-types.create</t>
        </is>
      </c>
      <c r="D502" t="inlineStr" s="4">
        <is>
          <t>Other / Legacy / Shared</t>
        </is>
      </c>
      <c r="E502" t="inlineStr" s="4">
        <is>
          <t>Mitra</t>
        </is>
      </c>
      <c r="F502" t="inlineStr" s="4">
        <is>
          <t>App\Http\Controllers\Mitra\RoomTypeController@create</t>
        </is>
      </c>
      <c r="G502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503" ht="22" customHeight="1">
      <c r="A503" t="inlineStr" s="4">
        <is>
          <t>DELETE</t>
        </is>
      </c>
      <c r="B503" t="inlineStr" s="4">
        <is>
          <t>mitra/room-types/{roomType}/images/{roomImage}</t>
        </is>
      </c>
      <c r="C503" t="inlineStr" s="4">
        <is>
          <t>mitra.room-types.images.destroy</t>
        </is>
      </c>
      <c r="D503" t="inlineStr" s="4">
        <is>
          <t>Other / Legacy / Shared</t>
        </is>
      </c>
      <c r="E503" t="inlineStr" s="4">
        <is>
          <t>Mitra</t>
        </is>
      </c>
      <c r="F503" t="inlineStr" s="4">
        <is>
          <t>App\Http\Controllers\Mitra\RoomTypeController@destroyImage</t>
        </is>
      </c>
      <c r="G503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504" ht="22" customHeight="1">
      <c r="A504" t="inlineStr" s="4">
        <is>
          <t>GET|HEAD</t>
        </is>
      </c>
      <c r="B504" t="inlineStr" s="4">
        <is>
          <t>mitra/room-types/{room_type}</t>
        </is>
      </c>
      <c r="C504" t="inlineStr" s="4">
        <is>
          <t>mitra.room-types.show</t>
        </is>
      </c>
      <c r="D504" t="inlineStr" s="4">
        <is>
          <t>Other / Legacy / Shared</t>
        </is>
      </c>
      <c r="E504" t="inlineStr" s="4">
        <is>
          <t>Mitra</t>
        </is>
      </c>
      <c r="F504" t="inlineStr" s="4">
        <is>
          <t>App\Http\Controllers\Mitra\RoomTypeController@show</t>
        </is>
      </c>
      <c r="G504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505" ht="22" customHeight="1">
      <c r="A505" t="inlineStr" s="4">
        <is>
          <t>PUT|PATCH</t>
        </is>
      </c>
      <c r="B505" t="inlineStr" s="4">
        <is>
          <t>mitra/room-types/{room_type}</t>
        </is>
      </c>
      <c r="C505" t="inlineStr" s="4">
        <is>
          <t>mitra.room-types.update</t>
        </is>
      </c>
      <c r="D505" t="inlineStr" s="4">
        <is>
          <t>Other / Legacy / Shared</t>
        </is>
      </c>
      <c r="E505" t="inlineStr" s="4">
        <is>
          <t>Mitra</t>
        </is>
      </c>
      <c r="F505" t="inlineStr" s="4">
        <is>
          <t>App\Http\Controllers\Mitra\RoomTypeController@update</t>
        </is>
      </c>
      <c r="G505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506" ht="22" customHeight="1">
      <c r="A506" t="inlineStr" s="4">
        <is>
          <t>DELETE</t>
        </is>
      </c>
      <c r="B506" t="inlineStr" s="4">
        <is>
          <t>mitra/room-types/{room_type}</t>
        </is>
      </c>
      <c r="C506" t="inlineStr" s="4">
        <is>
          <t>mitra.room-types.destroy</t>
        </is>
      </c>
      <c r="D506" t="inlineStr" s="4">
        <is>
          <t>Other / Legacy / Shared</t>
        </is>
      </c>
      <c r="E506" t="inlineStr" s="4">
        <is>
          <t>Mitra</t>
        </is>
      </c>
      <c r="F506" t="inlineStr" s="4">
        <is>
          <t>App\Http\Controllers\Mitra\RoomTypeController@destroy</t>
        </is>
      </c>
      <c r="G506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507" ht="22" customHeight="1">
      <c r="A507" t="inlineStr" s="4">
        <is>
          <t>GET|HEAD</t>
        </is>
      </c>
      <c r="B507" t="inlineStr" s="4">
        <is>
          <t>mitra/room-types/{room_type}/edit</t>
        </is>
      </c>
      <c r="C507" t="inlineStr" s="4">
        <is>
          <t>mitra.room-types.edit</t>
        </is>
      </c>
      <c r="D507" t="inlineStr" s="4">
        <is>
          <t>Other / Legacy / Shared</t>
        </is>
      </c>
      <c r="E507" t="inlineStr" s="4">
        <is>
          <t>Mitra</t>
        </is>
      </c>
      <c r="F507" t="inlineStr" s="4">
        <is>
          <t>App\Http\Controllers\Mitra\RoomTypeController@edit</t>
        </is>
      </c>
      <c r="G507" t="inlineStr" s="4">
        <is>
          <t>web, Illuminate\Auth\Middleware\Authenticate, Illuminate\Auth\Middleware\EnsureEmailIsVerified, App\Http\Middleware\EnsureMitra, App\Http\Middleware\EnsureMitraHotel, App\Http\Middleware\LogUserActivity</t>
        </is>
      </c>
    </row>
    <row r="508" ht="22" customHeight="1">
      <c r="A508" t="inlineStr" s="4">
        <is>
          <t>POST</t>
        </is>
      </c>
      <c r="B508" t="inlineStr" s="4">
        <is>
          <t>mitra/terms/sign</t>
        </is>
      </c>
      <c r="C508" t="inlineStr" s="4">
        <is>
          <t>mitra.terms.sign</t>
        </is>
      </c>
      <c r="D508" t="inlineStr" s="4">
        <is>
          <t>Other / Legacy / Shared</t>
        </is>
      </c>
      <c r="E508" t="inlineStr" s="4">
        <is>
          <t>Mitra</t>
        </is>
      </c>
      <c r="F508" t="inlineStr" s="4">
        <is>
          <t>App\Http\Controllers\Mitra\PartnerTermsSignatureController@store</t>
        </is>
      </c>
      <c r="G508" t="inlineStr" s="4">
        <is>
          <t>web, Illuminate\Auth\Middleware\Authenticate, Illuminate\Auth\Middleware\EnsureEmailIsVerified, App\Http\Middleware\EnsureMitra, App\Http\Middleware\LogUserActivity</t>
        </is>
      </c>
    </row>
    <row r="509" ht="22" customHeight="1">
      <c r="A509" t="inlineStr" s="4">
        <is>
          <t>GET|HEAD</t>
        </is>
      </c>
      <c r="B509" t="inlineStr" s="4">
        <is>
          <t>mitra/wisata/bookings</t>
        </is>
      </c>
      <c r="C509" t="inlineStr" s="4">
        <is>
          <t>mitra.wisata.bookings.index</t>
        </is>
      </c>
      <c r="D509" t="inlineStr" s="4">
        <is>
          <t>Mitra Wisata</t>
        </is>
      </c>
      <c r="E509" t="inlineStr" s="4">
        <is>
          <t>Mitra</t>
        </is>
      </c>
      <c r="F509" t="inlineStr" s="4">
        <is>
          <t>App\Http\Controllers\Mitra\Wisata\BookingController@index</t>
        </is>
      </c>
      <c r="G509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10" ht="22" customHeight="1">
      <c r="A510" t="inlineStr" s="4">
        <is>
          <t>GET|HEAD</t>
        </is>
      </c>
      <c r="B510" t="inlineStr" s="4">
        <is>
          <t>mitra/wisata/bookings/{booking}</t>
        </is>
      </c>
      <c r="C510" t="inlineStr" s="4">
        <is>
          <t>mitra.wisata.bookings.show</t>
        </is>
      </c>
      <c r="D510" t="inlineStr" s="4">
        <is>
          <t>Mitra Wisata</t>
        </is>
      </c>
      <c r="E510" t="inlineStr" s="4">
        <is>
          <t>Mitra</t>
        </is>
      </c>
      <c r="F510" t="inlineStr" s="4">
        <is>
          <t>App\Http\Controllers\Mitra\Wisata\BookingController@show</t>
        </is>
      </c>
      <c r="G510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11" ht="22" customHeight="1">
      <c r="A511" t="inlineStr" s="4">
        <is>
          <t>GET|HEAD</t>
        </is>
      </c>
      <c r="B511" t="inlineStr" s="4">
        <is>
          <t>mitra/wisata/destination</t>
        </is>
      </c>
      <c r="C511" t="inlineStr" s="4">
        <is>
          <t>mitra.wisata.destination.edit</t>
        </is>
      </c>
      <c r="D511" t="inlineStr" s="4">
        <is>
          <t>Mitra Wisata</t>
        </is>
      </c>
      <c r="E511" t="inlineStr" s="4">
        <is>
          <t>Mitra</t>
        </is>
      </c>
      <c r="F511" t="inlineStr" s="4">
        <is>
          <t>App\Http\Controllers\Mitra\Wisata\DestinationController@edit</t>
        </is>
      </c>
      <c r="G511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12" ht="22" customHeight="1">
      <c r="A512" t="inlineStr" s="4">
        <is>
          <t>PUT</t>
        </is>
      </c>
      <c r="B512" t="inlineStr" s="4">
        <is>
          <t>mitra/wisata/destination</t>
        </is>
      </c>
      <c r="C512" t="inlineStr" s="4">
        <is>
          <t>mitra.wisata.destination.update</t>
        </is>
      </c>
      <c r="D512" t="inlineStr" s="4">
        <is>
          <t>Mitra Wisata</t>
        </is>
      </c>
      <c r="E512" t="inlineStr" s="4">
        <is>
          <t>Mitra</t>
        </is>
      </c>
      <c r="F512" t="inlineStr" s="4">
        <is>
          <t>App\Http\Controllers\Mitra\Wisata\DestinationController@update</t>
        </is>
      </c>
      <c r="G512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13" ht="22" customHeight="1">
      <c r="A513" t="inlineStr" s="4">
        <is>
          <t>GET|HEAD</t>
        </is>
      </c>
      <c r="B513" t="inlineStr" s="4">
        <is>
          <t>mitra/wisata/disputes</t>
        </is>
      </c>
      <c r="C513" t="inlineStr" s="4">
        <is>
          <t>mitra.wisata.disputes.index</t>
        </is>
      </c>
      <c r="D513" t="inlineStr" s="4">
        <is>
          <t>Mitra Wisata</t>
        </is>
      </c>
      <c r="E513" t="inlineStr" s="4">
        <is>
          <t>Mitra</t>
        </is>
      </c>
      <c r="F513" t="inlineStr" s="4">
        <is>
          <t>App\Http\Controllers\Mitra\Wisata\DisputeController@index</t>
        </is>
      </c>
      <c r="G513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14" ht="22" customHeight="1">
      <c r="A514" t="inlineStr" s="4">
        <is>
          <t>POST</t>
        </is>
      </c>
      <c r="B514" t="inlineStr" s="4">
        <is>
          <t>mitra/wisata/disputes</t>
        </is>
      </c>
      <c r="C514" t="inlineStr" s="4">
        <is>
          <t>mitra.wisata.disputes.store</t>
        </is>
      </c>
      <c r="D514" t="inlineStr" s="4">
        <is>
          <t>Mitra Wisata</t>
        </is>
      </c>
      <c r="E514" t="inlineStr" s="4">
        <is>
          <t>Mitra</t>
        </is>
      </c>
      <c r="F514" t="inlineStr" s="4">
        <is>
          <t>App\Http\Controllers\Mitra\Wisata\DisputeController@store</t>
        </is>
      </c>
      <c r="G514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15" ht="22" customHeight="1">
      <c r="A515" t="inlineStr" s="4">
        <is>
          <t>GET|HEAD</t>
        </is>
      </c>
      <c r="B515" t="inlineStr" s="4">
        <is>
          <t>mitra/wisata/finance/payouts</t>
        </is>
      </c>
      <c r="C515" t="inlineStr" s="4">
        <is>
          <t>mitra.wisata.finance.payouts</t>
        </is>
      </c>
      <c r="D515" t="inlineStr" s="4">
        <is>
          <t>Mitra Wisata</t>
        </is>
      </c>
      <c r="E515" t="inlineStr" s="4">
        <is>
          <t>Mitra</t>
        </is>
      </c>
      <c r="F515" t="inlineStr" s="4">
        <is>
          <t>App\Http\Controllers\Mitra\Wisata\FinanceController@payouts</t>
        </is>
      </c>
      <c r="G515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16" ht="22" customHeight="1">
      <c r="A516" t="inlineStr" s="4">
        <is>
          <t>GET|HEAD</t>
        </is>
      </c>
      <c r="B516" t="inlineStr" s="4">
        <is>
          <t>mitra/wisata/finance/summary</t>
        </is>
      </c>
      <c r="C516" t="inlineStr" s="4">
        <is>
          <t>mitra.wisata.finance.summary</t>
        </is>
      </c>
      <c r="D516" t="inlineStr" s="4">
        <is>
          <t>Mitra Wisata</t>
        </is>
      </c>
      <c r="E516" t="inlineStr" s="4">
        <is>
          <t>Mitra</t>
        </is>
      </c>
      <c r="F516" t="inlineStr" s="4">
        <is>
          <t>App\Http\Controllers\Mitra\Wisata\FinanceController@summary</t>
        </is>
      </c>
      <c r="G516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17" ht="22" customHeight="1">
      <c r="A517" t="inlineStr" s="4">
        <is>
          <t>GET|HEAD</t>
        </is>
      </c>
      <c r="B517" t="inlineStr" s="4">
        <is>
          <t>mitra/wisata/notifications</t>
        </is>
      </c>
      <c r="C517" t="inlineStr" s="4">
        <is>
          <t>mitra.wisata.notifications.index</t>
        </is>
      </c>
      <c r="D517" t="inlineStr" s="4">
        <is>
          <t>Mitra Wisata</t>
        </is>
      </c>
      <c r="E517" t="inlineStr" s="4">
        <is>
          <t>Mitra</t>
        </is>
      </c>
      <c r="F517" t="inlineStr" s="4">
        <is>
          <t>App\Http\Controllers\Mitra\Wisata\NotificationController@index</t>
        </is>
      </c>
      <c r="G517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18" ht="22" customHeight="1">
      <c r="A518" t="inlineStr" s="4">
        <is>
          <t>GET|HEAD</t>
        </is>
      </c>
      <c r="B518" t="inlineStr" s="4">
        <is>
          <t>mitra/wisata/onboarding</t>
        </is>
      </c>
      <c r="C518" t="inlineStr" s="4">
        <is>
          <t>mitra.wisata.onboarding</t>
        </is>
      </c>
      <c r="D518" t="inlineStr" s="4">
        <is>
          <t>Mitra Wisata</t>
        </is>
      </c>
      <c r="E518" t="inlineStr" s="4">
        <is>
          <t>Mitra</t>
        </is>
      </c>
      <c r="F518" t="inlineStr" s="4">
        <is>
          <t>App\Http\Controllers\MitraWisataOnboardingController@show</t>
        </is>
      </c>
      <c r="G518" t="inlineStr" s="4">
        <is>
          <t>web, Illuminate\Auth\Middleware\Authenticate, Illuminate\Auth\Middleware\EnsureEmailIsVerified, App\Http\Middleware\EnsureMitra, App\Http\Middleware\LogUserActivity</t>
        </is>
      </c>
    </row>
    <row r="519" ht="22" customHeight="1">
      <c r="A519" t="inlineStr" s="4">
        <is>
          <t>PATCH|POST</t>
        </is>
      </c>
      <c r="B519" t="inlineStr" s="4">
        <is>
          <t>mitra/wisata/onboarding/step-1</t>
        </is>
      </c>
      <c r="C519" t="inlineStr" s="4">
        <is>
          <t>mitra.wisata.onboarding.step1</t>
        </is>
      </c>
      <c r="D519" t="inlineStr" s="4">
        <is>
          <t>Mitra Wisata</t>
        </is>
      </c>
      <c r="E519" t="inlineStr" s="4">
        <is>
          <t>Mitra</t>
        </is>
      </c>
      <c r="F519" t="inlineStr" s="4">
        <is>
          <t>App\Http\Controllers\MitraWisataOnboardingController@updateStepOne</t>
        </is>
      </c>
      <c r="G519" t="inlineStr" s="4">
        <is>
          <t>web, Illuminate\Auth\Middleware\Authenticate, Illuminate\Auth\Middleware\EnsureEmailIsVerified, App\Http\Middleware\EnsureMitra, App\Http\Middleware\LogUserActivity</t>
        </is>
      </c>
    </row>
    <row r="520" ht="22" customHeight="1">
      <c r="A520" t="inlineStr" s="4">
        <is>
          <t>PATCH|POST</t>
        </is>
      </c>
      <c r="B520" t="inlineStr" s="4">
        <is>
          <t>mitra/wisata/onboarding/step-2</t>
        </is>
      </c>
      <c r="C520" t="inlineStr" s="4">
        <is>
          <t>mitra.wisata.onboarding.step2</t>
        </is>
      </c>
      <c r="D520" t="inlineStr" s="4">
        <is>
          <t>Mitra Wisata</t>
        </is>
      </c>
      <c r="E520" t="inlineStr" s="4">
        <is>
          <t>Mitra</t>
        </is>
      </c>
      <c r="F520" t="inlineStr" s="4">
        <is>
          <t>App\Http\Controllers\MitraWisataOnboardingController@updateStepTwo</t>
        </is>
      </c>
      <c r="G520" t="inlineStr" s="4">
        <is>
          <t>web, Illuminate\Auth\Middleware\Authenticate, Illuminate\Auth\Middleware\EnsureEmailIsVerified, App\Http\Middleware\EnsureMitra, App\Http\Middleware\LogUserActivity</t>
        </is>
      </c>
    </row>
    <row r="521" ht="22" customHeight="1">
      <c r="A521" t="inlineStr" s="4">
        <is>
          <t>PATCH|POST</t>
        </is>
      </c>
      <c r="B521" t="inlineStr" s="4">
        <is>
          <t>mitra/wisata/onboarding/step-3</t>
        </is>
      </c>
      <c r="C521" t="inlineStr" s="4">
        <is>
          <t>mitra.wisata.onboarding.step3</t>
        </is>
      </c>
      <c r="D521" t="inlineStr" s="4">
        <is>
          <t>Mitra Wisata</t>
        </is>
      </c>
      <c r="E521" t="inlineStr" s="4">
        <is>
          <t>Mitra</t>
        </is>
      </c>
      <c r="F521" t="inlineStr" s="4">
        <is>
          <t>App\Http\Controllers\MitraWisataOnboardingController@updateStepThree</t>
        </is>
      </c>
      <c r="G521" t="inlineStr" s="4">
        <is>
          <t>web, Illuminate\Auth\Middleware\Authenticate, Illuminate\Auth\Middleware\EnsureEmailIsVerified, App\Http\Middleware\EnsureMitra, App\Http\Middleware\LogUserActivity</t>
        </is>
      </c>
    </row>
    <row r="522" ht="22" customHeight="1">
      <c r="A522" t="inlineStr" s="4">
        <is>
          <t>POST</t>
        </is>
      </c>
      <c r="B522" t="inlineStr" s="4">
        <is>
          <t>mitra/wisata/onboarding/submit-payout</t>
        </is>
      </c>
      <c r="C522" t="inlineStr" s="4">
        <is>
          <t>mitra.wisata.onboarding.submitPayout</t>
        </is>
      </c>
      <c r="D522" t="inlineStr" s="4">
        <is>
          <t>Mitra Wisata</t>
        </is>
      </c>
      <c r="E522" t="inlineStr" s="4">
        <is>
          <t>Mitra</t>
        </is>
      </c>
      <c r="F522" t="inlineStr" s="4">
        <is>
          <t>App\Http\Controllers\MitraWisataOnboardingController@submitPayout</t>
        </is>
      </c>
      <c r="G522" t="inlineStr" s="4">
        <is>
          <t>web, Illuminate\Auth\Middleware\Authenticate, Illuminate\Auth\Middleware\EnsureEmailIsVerified, App\Http\Middleware\EnsureMitra, App\Http\Middleware\LogUserActivity</t>
        </is>
      </c>
    </row>
    <row r="523" ht="22" customHeight="1">
      <c r="A523" t="inlineStr" s="4">
        <is>
          <t>POST</t>
        </is>
      </c>
      <c r="B523" t="inlineStr" s="4">
        <is>
          <t>mitra/wisata/onboarding/submit-verification</t>
        </is>
      </c>
      <c r="C523" t="inlineStr" s="4">
        <is>
          <t>mitra.wisata.onboarding.submitVerification</t>
        </is>
      </c>
      <c r="D523" t="inlineStr" s="4">
        <is>
          <t>Mitra Wisata</t>
        </is>
      </c>
      <c r="E523" t="inlineStr" s="4">
        <is>
          <t>Mitra</t>
        </is>
      </c>
      <c r="F523" t="inlineStr" s="4">
        <is>
          <t>App\Http\Controllers\MitraWisataOnboardingController@submitVerification</t>
        </is>
      </c>
      <c r="G523" t="inlineStr" s="4">
        <is>
          <t>web, Illuminate\Auth\Middleware\Authenticate, Illuminate\Auth\Middleware\EnsureEmailIsVerified, App\Http\Middleware\EnsureMitra, App\Http\Middleware\LogUserActivity</t>
        </is>
      </c>
    </row>
    <row r="524" ht="22" customHeight="1">
      <c r="A524" t="inlineStr" s="4">
        <is>
          <t>GET|HEAD</t>
        </is>
      </c>
      <c r="B524" t="inlineStr" s="4">
        <is>
          <t>mitra/wisata/reviews</t>
        </is>
      </c>
      <c r="C524" t="inlineStr" s="4">
        <is>
          <t>mitra.wisata.reviews.index</t>
        </is>
      </c>
      <c r="D524" t="inlineStr" s="4">
        <is>
          <t>Mitra Wisata</t>
        </is>
      </c>
      <c r="E524" t="inlineStr" s="4">
        <is>
          <t>Mitra</t>
        </is>
      </c>
      <c r="F524" t="inlineStr" s="4">
        <is>
          <t>App\Http\Controllers\Mitra\ReviewController@index</t>
        </is>
      </c>
      <c r="G524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25" ht="22" customHeight="1">
      <c r="A525" t="inlineStr" s="4">
        <is>
          <t>DELETE</t>
        </is>
      </c>
      <c r="B525" t="inlineStr" s="4">
        <is>
          <t>mitra/wisata/reviews/{review}</t>
        </is>
      </c>
      <c r="C525" t="inlineStr" s="4">
        <is>
          <t>mitra.wisata.reviews.destroy</t>
        </is>
      </c>
      <c r="D525" t="inlineStr" s="4">
        <is>
          <t>Mitra Wisata</t>
        </is>
      </c>
      <c r="E525" t="inlineStr" s="4">
        <is>
          <t>Mitra</t>
        </is>
      </c>
      <c r="F525" t="inlineStr" s="4">
        <is>
          <t>App\Http\Controllers\Mitra\ReviewController@destroy</t>
        </is>
      </c>
      <c r="G525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26" ht="22" customHeight="1">
      <c r="A526" t="inlineStr" s="4">
        <is>
          <t>POST</t>
        </is>
      </c>
      <c r="B526" t="inlineStr" s="4">
        <is>
          <t>mitra/wisata/reviews/{review}/reply</t>
        </is>
      </c>
      <c r="C526" t="inlineStr" s="4">
        <is>
          <t>mitra.wisata.reviews.reply</t>
        </is>
      </c>
      <c r="D526" t="inlineStr" s="4">
        <is>
          <t>Mitra Wisata</t>
        </is>
      </c>
      <c r="E526" t="inlineStr" s="4">
        <is>
          <t>Mitra</t>
        </is>
      </c>
      <c r="F526" t="inlineStr" s="4">
        <is>
          <t>App\Http\Controllers\Mitra\ReviewController@reply</t>
        </is>
      </c>
      <c r="G526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27" ht="22" customHeight="1">
      <c r="A527" t="inlineStr" s="4">
        <is>
          <t>GET|HEAD</t>
        </is>
      </c>
      <c r="B527" t="inlineStr" s="4">
        <is>
          <t>mitra/wisata/scans</t>
        </is>
      </c>
      <c r="C527" t="inlineStr" s="4">
        <is>
          <t>mitra.wisata.scans.index</t>
        </is>
      </c>
      <c r="D527" t="inlineStr" s="4">
        <is>
          <t>Mitra Wisata</t>
        </is>
      </c>
      <c r="E527" t="inlineStr" s="4">
        <is>
          <t>Mitra</t>
        </is>
      </c>
      <c r="F527" t="inlineStr" s="4">
        <is>
          <t>App\Http\Controllers\Mitra\Wisata\ScanController@index</t>
        </is>
      </c>
      <c r="G527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28" ht="22" customHeight="1">
      <c r="A528" t="inlineStr" s="4">
        <is>
          <t>POST</t>
        </is>
      </c>
      <c r="B528" t="inlineStr" s="4">
        <is>
          <t>mitra/wisata/scans</t>
        </is>
      </c>
      <c r="C528" t="inlineStr" s="4">
        <is>
          <t>mitra.wisata.scans.store</t>
        </is>
      </c>
      <c r="D528" t="inlineStr" s="4">
        <is>
          <t>Mitra Wisata</t>
        </is>
      </c>
      <c r="E528" t="inlineStr" s="4">
        <is>
          <t>Mitra</t>
        </is>
      </c>
      <c r="F528" t="inlineStr" s="4">
        <is>
          <t>App\Http\Controllers\Mitra\Wisata\ScanController@store</t>
        </is>
      </c>
      <c r="G528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29" ht="22" customHeight="1">
      <c r="A529" t="inlineStr" s="4">
        <is>
          <t>GET|HEAD</t>
        </is>
      </c>
      <c r="B529" t="inlineStr" s="4">
        <is>
          <t>mitra/wisata/scans/qr.pdf</t>
        </is>
      </c>
      <c r="C529" t="inlineStr" s="4">
        <is>
          <t>mitra.wisata.scans.pdf</t>
        </is>
      </c>
      <c r="D529" t="inlineStr" s="4">
        <is>
          <t>Mitra Wisata</t>
        </is>
      </c>
      <c r="E529" t="inlineStr" s="4">
        <is>
          <t>Mitra</t>
        </is>
      </c>
      <c r="F529" t="inlineStr" s="4">
        <is>
          <t>App\Http\Controllers\Mitra\Wisata\ScanController@download</t>
        </is>
      </c>
      <c r="G529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30" ht="22" customHeight="1">
      <c r="A530" t="inlineStr" s="4">
        <is>
          <t>GET|HEAD</t>
        </is>
      </c>
      <c r="B530" t="inlineStr" s="4">
        <is>
          <t>mitra/wisata/tickets</t>
        </is>
      </c>
      <c r="C530" t="inlineStr" s="4">
        <is>
          <t>mitra.wisata.tickets.index</t>
        </is>
      </c>
      <c r="D530" t="inlineStr" s="4">
        <is>
          <t>Mitra Wisata</t>
        </is>
      </c>
      <c r="E530" t="inlineStr" s="4">
        <is>
          <t>Mitra</t>
        </is>
      </c>
      <c r="F530" t="inlineStr" s="4">
        <is>
          <t>App\Http\Controllers\Mitra\Wisata\TicketController@index</t>
        </is>
      </c>
      <c r="G530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31" ht="22" customHeight="1">
      <c r="A531" t="inlineStr" s="4">
        <is>
          <t>POST</t>
        </is>
      </c>
      <c r="B531" t="inlineStr" s="4">
        <is>
          <t>mitra/wisata/tickets</t>
        </is>
      </c>
      <c r="C531" t="inlineStr" s="4">
        <is>
          <t>mitra.wisata.tickets.store</t>
        </is>
      </c>
      <c r="D531" t="inlineStr" s="4">
        <is>
          <t>Mitra Wisata</t>
        </is>
      </c>
      <c r="E531" t="inlineStr" s="4">
        <is>
          <t>Mitra</t>
        </is>
      </c>
      <c r="F531" t="inlineStr" s="4">
        <is>
          <t>App\Http\Controllers\Mitra\Wisata\TicketController@store</t>
        </is>
      </c>
      <c r="G531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32" ht="22" customHeight="1">
      <c r="A532" t="inlineStr" s="4">
        <is>
          <t>GET|HEAD</t>
        </is>
      </c>
      <c r="B532" t="inlineStr" s="4">
        <is>
          <t>mitra/wisata/tickets/create</t>
        </is>
      </c>
      <c r="C532" t="inlineStr" s="4">
        <is>
          <t>mitra.wisata.tickets.create</t>
        </is>
      </c>
      <c r="D532" t="inlineStr" s="4">
        <is>
          <t>Mitra Wisata</t>
        </is>
      </c>
      <c r="E532" t="inlineStr" s="4">
        <is>
          <t>Mitra</t>
        </is>
      </c>
      <c r="F532" t="inlineStr" s="4">
        <is>
          <t>App\Http\Controllers\Mitra\Wisata\TicketController@create</t>
        </is>
      </c>
      <c r="G532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33" ht="22" customHeight="1">
      <c r="A533" t="inlineStr" s="4">
        <is>
          <t>PUT</t>
        </is>
      </c>
      <c r="B533" t="inlineStr" s="4">
        <is>
          <t>mitra/wisata/tickets/{ticket}</t>
        </is>
      </c>
      <c r="C533" t="inlineStr" s="4">
        <is>
          <t>mitra.wisata.tickets.update</t>
        </is>
      </c>
      <c r="D533" t="inlineStr" s="4">
        <is>
          <t>Mitra Wisata</t>
        </is>
      </c>
      <c r="E533" t="inlineStr" s="4">
        <is>
          <t>Mitra</t>
        </is>
      </c>
      <c r="F533" t="inlineStr" s="4">
        <is>
          <t>App\Http\Controllers\Mitra\Wisata\TicketController@update</t>
        </is>
      </c>
      <c r="G533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34" ht="22" customHeight="1">
      <c r="A534" t="inlineStr" s="4">
        <is>
          <t>DELETE</t>
        </is>
      </c>
      <c r="B534" t="inlineStr" s="4">
        <is>
          <t>mitra/wisata/tickets/{ticket}</t>
        </is>
      </c>
      <c r="C534" t="inlineStr" s="4">
        <is>
          <t>mitra.wisata.tickets.destroy</t>
        </is>
      </c>
      <c r="D534" t="inlineStr" s="4">
        <is>
          <t>Mitra Wisata</t>
        </is>
      </c>
      <c r="E534" t="inlineStr" s="4">
        <is>
          <t>Mitra</t>
        </is>
      </c>
      <c r="F534" t="inlineStr" s="4">
        <is>
          <t>App\Http\Controllers\Mitra\Wisata\TicketController@destroy</t>
        </is>
      </c>
      <c r="G534" t="inlineStr" s="4">
        <is>
          <t>web, Illuminate\Auth\Middleware\Authenticate, Illuminate\Auth\Middleware\EnsureEmailIsVerified, App\Http\Middleware\EnsureMitra, App\Http\Middleware\EnsureMitraWisata, App\Http\Middleware\LogUserActivity</t>
        </is>
      </c>
    </row>
    <row r="535" ht="22" customHeight="1">
      <c r="A535" t="inlineStr" s="4">
        <is>
          <t>GET|HEAD</t>
        </is>
      </c>
      <c r="B535" t="inlineStr" s="4">
        <is>
          <t>mobile/email/verify/{id}/{hash}</t>
        </is>
      </c>
      <c r="C535" t="inlineStr" s="4">
        <is>
          <t>mobile.verification.verify</t>
        </is>
      </c>
      <c r="D535" t="inlineStr" s="4">
        <is>
          <t>Other / Legacy / Shared</t>
        </is>
      </c>
      <c r="E535" t="inlineStr" s="4">
        <is>
          <t>Guest/Public</t>
        </is>
      </c>
      <c r="F535" t="inlineStr" s="4">
        <is>
          <t>App\Http\Controllers\Auth\MobileEmailVerificationController</t>
        </is>
      </c>
      <c r="G535" t="inlineStr" s="4">
        <is>
          <t>web, Illuminate\Routing\Middleware\ValidateSignature, Illuminate\Routing\Middleware\ThrottleRequests:6,1</t>
        </is>
      </c>
    </row>
    <row r="536" ht="22" customHeight="1">
      <c r="A536" t="inlineStr" s="4">
        <is>
          <t>GET|HEAD</t>
        </is>
      </c>
      <c r="B536" t="inlineStr" s="4">
        <is>
          <t>notifications</t>
        </is>
      </c>
      <c r="C536" t="inlineStr" s="4">
        <is>
          <t>public.notifications</t>
        </is>
      </c>
      <c r="D536" t="inlineStr" s="4">
        <is>
          <t>Public Web</t>
        </is>
      </c>
      <c r="E536" t="inlineStr" s="4">
        <is>
          <t>Guest/Public</t>
        </is>
      </c>
      <c r="F536" t="inlineStr" s="4">
        <is>
          <t>App\Http\Controllers\PublicNotificationController@index</t>
        </is>
      </c>
      <c r="G536" t="inlineStr" s="4">
        <is>
          <t>web, Illuminate\Auth\Middleware\Authenticate, Illuminate\Auth\Middleware\EnsureEmailIsVerified, App\Http\Middleware\EnsureUser, App\Http\Middleware\LogUserActivity</t>
        </is>
      </c>
    </row>
    <row r="537" ht="22" customHeight="1">
      <c r="A537" t="inlineStr" s="4">
        <is>
          <t>POST</t>
        </is>
      </c>
      <c r="B537" t="inlineStr" s="4">
        <is>
          <t>notifications/read-all</t>
        </is>
      </c>
      <c r="C537" t="inlineStr" s="4">
        <is>
          <t>public.notifications.readAll</t>
        </is>
      </c>
      <c r="D537" t="inlineStr" s="4">
        <is>
          <t>Other / Legacy / Shared</t>
        </is>
      </c>
      <c r="E537" t="inlineStr" s="4">
        <is>
          <t>Guest/Public</t>
        </is>
      </c>
      <c r="F537" t="inlineStr" s="4">
        <is>
          <t>App\Http\Controllers\PublicNotificationController@markAllRead</t>
        </is>
      </c>
      <c r="G537" t="inlineStr" s="4">
        <is>
          <t>web, Illuminate\Auth\Middleware\Authenticate, Illuminate\Auth\Middleware\EnsureEmailIsVerified, App\Http\Middleware\EnsureUser, App\Http\Middleware\LogUserActivity</t>
        </is>
      </c>
    </row>
    <row r="538" ht="22" customHeight="1">
      <c r="A538" t="inlineStr" s="4">
        <is>
          <t>POST</t>
        </is>
      </c>
      <c r="B538" t="inlineStr" s="4">
        <is>
          <t>notifications/{notification}/read</t>
        </is>
      </c>
      <c r="C538" t="inlineStr" s="4">
        <is>
          <t>public.notifications.read</t>
        </is>
      </c>
      <c r="D538" t="inlineStr" s="4">
        <is>
          <t>Other / Legacy / Shared</t>
        </is>
      </c>
      <c r="E538" t="inlineStr" s="4">
        <is>
          <t>Guest/Public</t>
        </is>
      </c>
      <c r="F538" t="inlineStr" s="4">
        <is>
          <t>App\Http\Controllers\PublicNotificationController@markRead</t>
        </is>
      </c>
      <c r="G538" t="inlineStr" s="4">
        <is>
          <t>web, Illuminate\Auth\Middleware\Authenticate, Illuminate\Auth\Middleware\EnsureEmailIsVerified, App\Http\Middleware\EnsureUser, App\Http\Middleware\LogUserActivity</t>
        </is>
      </c>
    </row>
    <row r="539" ht="22" customHeight="1">
      <c r="A539" t="inlineStr" s="4">
        <is>
          <t>POST</t>
        </is>
      </c>
      <c r="B539" t="inlineStr" s="4">
        <is>
          <t>payments/midtrans/callback</t>
        </is>
      </c>
      <c r="C539" t="inlineStr" s="4">
        <is>
          <t>payments.midtrans.callback</t>
        </is>
      </c>
      <c r="D539" t="inlineStr" s="4">
        <is>
          <t>Other / Legacy / Shared</t>
        </is>
      </c>
      <c r="E539" t="inlineStr" s="4">
        <is>
          <t>Guest/Public</t>
        </is>
      </c>
      <c r="F539" t="inlineStr" s="4">
        <is>
          <t>App\Http\Controllers\MidtransCallbackController</t>
        </is>
      </c>
      <c r="G539" t="inlineStr" s="4">
        <is>
          <t>web</t>
        </is>
      </c>
    </row>
    <row r="540" ht="22" customHeight="1">
      <c r="A540" t="inlineStr" s="4">
        <is>
          <t>GET|HEAD</t>
        </is>
      </c>
      <c r="B540" t="inlineStr" s="4">
        <is>
          <t>privacy-policy</t>
        </is>
      </c>
      <c r="C540" t="inlineStr" s="4">
        <is>
          <t>public.privacy-policy</t>
        </is>
      </c>
      <c r="D540" t="inlineStr" s="4">
        <is>
          <t>Public Web</t>
        </is>
      </c>
      <c r="E540" t="inlineStr" s="4">
        <is>
          <t>Guest/Public</t>
        </is>
      </c>
      <c r="F540" t="inlineStr" s="4">
        <is>
          <t>App\Http\Controllers\PublicPrivacyPolicyController@show</t>
        </is>
      </c>
      <c r="G540" t="inlineStr" s="4">
        <is>
          <t>web</t>
        </is>
      </c>
    </row>
    <row r="541" ht="22" customHeight="1">
      <c r="A541" t="inlineStr" s="4">
        <is>
          <t>GET|HEAD</t>
        </is>
      </c>
      <c r="B541" t="inlineStr" s="4">
        <is>
          <t>promo</t>
        </is>
      </c>
      <c r="C541" t="inlineStr" s="4">
        <is>
          <t>promo.index</t>
        </is>
      </c>
      <c r="D541" t="inlineStr" s="4">
        <is>
          <t>Public Web</t>
        </is>
      </c>
      <c r="E541" t="inlineStr" s="4">
        <is>
          <t>Guest/Public</t>
        </is>
      </c>
      <c r="F541" t="inlineStr" s="4">
        <is>
          <t>App\Http\Controllers\PublicPromoController@index</t>
        </is>
      </c>
      <c r="G541" t="inlineStr" s="4">
        <is>
          <t>web</t>
        </is>
      </c>
    </row>
    <row r="542" ht="22" customHeight="1">
      <c r="A542" t="inlineStr" s="4">
        <is>
          <t>GET|HEAD</t>
        </is>
      </c>
      <c r="B542" t="inlineStr" s="4">
        <is>
          <t>promo/voucher/{voucher}</t>
        </is>
      </c>
      <c r="C542" t="inlineStr" s="4">
        <is>
          <t>promo.voucher.select</t>
        </is>
      </c>
      <c r="D542" t="inlineStr" s="4">
        <is>
          <t>Other / Legacy / Shared</t>
        </is>
      </c>
      <c r="E542" t="inlineStr" s="4">
        <is>
          <t>Guest/Public</t>
        </is>
      </c>
      <c r="F542" t="inlineStr" s="4">
        <is>
          <t>App\Http\Controllers\PublicPromoController@selectVoucher</t>
        </is>
      </c>
      <c r="G542" t="inlineStr" s="4">
        <is>
          <t>web</t>
        </is>
      </c>
    </row>
    <row r="543" ht="22" customHeight="1">
      <c r="A543" t="inlineStr" s="4">
        <is>
          <t>GET|HEAD</t>
        </is>
      </c>
      <c r="B543" t="inlineStr" s="4">
        <is>
          <t>promo/{promoItem}</t>
        </is>
      </c>
      <c r="C543" t="inlineStr" s="4">
        <is>
          <t>promo.show</t>
        </is>
      </c>
      <c r="D543" t="inlineStr" s="4">
        <is>
          <t>Other / Legacy / Shared</t>
        </is>
      </c>
      <c r="E543" t="inlineStr" s="4">
        <is>
          <t>Guest/Public</t>
        </is>
      </c>
      <c r="F543" t="inlineStr" s="4">
        <is>
          <t>App\Http\Controllers\PublicPromoController@show</t>
        </is>
      </c>
      <c r="G543" t="inlineStr" s="4">
        <is>
          <t>web</t>
        </is>
      </c>
    </row>
    <row r="544" ht="22" customHeight="1">
      <c r="A544" t="inlineStr" s="4">
        <is>
          <t>GET|HEAD</t>
        </is>
      </c>
      <c r="B544" t="inlineStr" s="4">
        <is>
          <t>register</t>
        </is>
      </c>
      <c r="C544" t="inlineStr" s="4">
        <is>
          <t>register</t>
        </is>
      </c>
      <c r="D544" t="inlineStr" s="4">
        <is>
          <t>Authentication</t>
        </is>
      </c>
      <c r="E544" t="inlineStr" s="4">
        <is>
          <t>Guest/Public</t>
        </is>
      </c>
      <c r="F544" t="inlineStr" s="4">
        <is>
          <t>Laravel\Fortify\Http\Controllers\RegisteredUserController@create</t>
        </is>
      </c>
      <c r="G544" t="inlineStr" s="4">
        <is>
          <t>web, Illuminate\Auth\Middleware\RedirectIfAuthenticated:web</t>
        </is>
      </c>
    </row>
    <row r="545" ht="22" customHeight="1">
      <c r="A545" t="inlineStr" s="4">
        <is>
          <t>POST</t>
        </is>
      </c>
      <c r="B545" t="inlineStr" s="4">
        <is>
          <t>register</t>
        </is>
      </c>
      <c r="C545" t="inlineStr" s="4">
        <is>
          <t>register.store</t>
        </is>
      </c>
      <c r="D545" t="inlineStr" s="4">
        <is>
          <t>Authentication</t>
        </is>
      </c>
      <c r="E545" t="inlineStr" s="4">
        <is>
          <t>Guest/Public</t>
        </is>
      </c>
      <c r="F545" t="inlineStr" s="4">
        <is>
          <t>Laravel\Fortify\Http\Controllers\RegisteredUserController@store</t>
        </is>
      </c>
      <c r="G545" t="inlineStr" s="4">
        <is>
          <t>web, Illuminate\Auth\Middleware\RedirectIfAuthenticated:web</t>
        </is>
      </c>
    </row>
    <row r="546" ht="22" customHeight="1">
      <c r="A546" t="inlineStr" s="4">
        <is>
          <t>POST</t>
        </is>
      </c>
      <c r="B546" t="inlineStr" s="4">
        <is>
          <t>reset-password</t>
        </is>
      </c>
      <c r="C546" t="inlineStr" s="4">
        <is>
          <t>password.update</t>
        </is>
      </c>
      <c r="D546" t="inlineStr" s="4">
        <is>
          <t>Authentication</t>
        </is>
      </c>
      <c r="E546" t="inlineStr" s="4">
        <is>
          <t>Guest/Public</t>
        </is>
      </c>
      <c r="F546" t="inlineStr" s="4">
        <is>
          <t>Laravel\Fortify\Http\Controllers\NewPasswordController@store</t>
        </is>
      </c>
      <c r="G546" t="inlineStr" s="4">
        <is>
          <t>web, Illuminate\Auth\Middleware\RedirectIfAuthenticated:web</t>
        </is>
      </c>
    </row>
    <row r="547" ht="22" customHeight="1">
      <c r="A547" t="inlineStr" s="4">
        <is>
          <t>GET|HEAD</t>
        </is>
      </c>
      <c r="B547" t="inlineStr" s="4">
        <is>
          <t>reset-password/{token}</t>
        </is>
      </c>
      <c r="C547" t="inlineStr" s="4">
        <is>
          <t>password.reset</t>
        </is>
      </c>
      <c r="D547" t="inlineStr" s="4">
        <is>
          <t>Authentication</t>
        </is>
      </c>
      <c r="E547" t="inlineStr" s="4">
        <is>
          <t>Guest/Public</t>
        </is>
      </c>
      <c r="F547" t="inlineStr" s="4">
        <is>
          <t>Laravel\Fortify\Http\Controllers\NewPasswordController@create</t>
        </is>
      </c>
      <c r="G547" t="inlineStr" s="4">
        <is>
          <t>web, Illuminate\Auth\Middleware\RedirectIfAuthenticated:web</t>
        </is>
      </c>
    </row>
    <row r="548" ht="22" customHeight="1">
      <c r="A548" t="inlineStr" s="4">
        <is>
          <t>GET|HEAD</t>
        </is>
      </c>
      <c r="B548" t="inlineStr" s="4">
        <is>
          <t>retail-shop</t>
        </is>
      </c>
      <c r="C548" t="inlineStr" s="4">
        <is>
          <t>souvenir.search</t>
        </is>
      </c>
      <c r="D548" t="inlineStr" s="4">
        <is>
          <t>Retired Product Surface</t>
        </is>
      </c>
      <c r="E548" t="inlineStr" s="4">
        <is>
          <t>Guest/Public</t>
        </is>
      </c>
      <c r="F548" t="inlineStr" s="4">
        <is>
          <t>App\Http\Controllers\PublicSouvenirController@index</t>
        </is>
      </c>
      <c r="G548" t="inlineStr" s="4">
        <is>
          <t>web</t>
        </is>
      </c>
    </row>
    <row r="549" ht="22" customHeight="1">
      <c r="A549" t="inlineStr" s="4">
        <is>
          <t>GET|HEAD</t>
        </is>
      </c>
      <c r="B549" t="inlineStr" s="4">
        <is>
          <t>retail-shop/booking/{order}</t>
        </is>
      </c>
      <c r="C549" t="inlineStr" s="4">
        <is>
          <t>souvenir.booking.show</t>
        </is>
      </c>
      <c r="D549" t="inlineStr" s="4">
        <is>
          <t>Retired Product Surface</t>
        </is>
      </c>
      <c r="E549" t="inlineStr" s="4">
        <is>
          <t>Guest/Public</t>
        </is>
      </c>
      <c r="F549" t="inlineStr" s="4">
        <is>
          <t>App\Http\Controllers\SouvenirBookingController@show</t>
        </is>
      </c>
      <c r="G549" t="inlineStr" s="4">
        <is>
          <t>web, Illuminate\Auth\Middleware\Authenticate, Illuminate\Auth\Middleware\EnsureEmailIsVerified, App\Http\Middleware\EnsureUser, App\Http\Middleware\LogUserActivity</t>
        </is>
      </c>
    </row>
    <row r="550" ht="22" customHeight="1">
      <c r="A550" t="inlineStr" s="4">
        <is>
          <t>GET|HEAD</t>
        </is>
      </c>
      <c r="B550" t="inlineStr" s="4">
        <is>
          <t>retail-shop/booking/{order}/payment</t>
        </is>
      </c>
      <c r="C550" t="inlineStr" s="4">
        <is>
          <t>souvenir.booking.payment</t>
        </is>
      </c>
      <c r="D550" t="inlineStr" s="4">
        <is>
          <t>Retired Product Surface</t>
        </is>
      </c>
      <c r="E550" t="inlineStr" s="4">
        <is>
          <t>Guest/Public</t>
        </is>
      </c>
      <c r="F550" t="inlineStr" s="4">
        <is>
          <t>App\Http\Controllers\SouvenirBookingController@payment</t>
        </is>
      </c>
      <c r="G550" t="inlineStr" s="4">
        <is>
          <t>web, Illuminate\Auth\Middleware\Authenticate, Illuminate\Auth\Middleware\EnsureEmailIsVerified, App\Http\Middleware\EnsureUser, App\Http\Middleware\LogUserActivity</t>
        </is>
      </c>
    </row>
    <row r="551" ht="22" customHeight="1">
      <c r="A551" t="inlineStr" s="4">
        <is>
          <t>GET|HEAD</t>
        </is>
      </c>
      <c r="B551" t="inlineStr" s="4">
        <is>
          <t>retail-shop/cart</t>
        </is>
      </c>
      <c r="C551" t="inlineStr" s="4">
        <is>
          <t>souvenir.cart</t>
        </is>
      </c>
      <c r="D551" t="inlineStr" s="4">
        <is>
          <t>Retired Product Surface</t>
        </is>
      </c>
      <c r="E551" t="inlineStr" s="4">
        <is>
          <t>Guest/Public</t>
        </is>
      </c>
      <c r="F551" t="inlineStr" s="4">
        <is>
          <t>App\Http\Controllers\SouvenirCartController@index</t>
        </is>
      </c>
      <c r="G551" t="inlineStr" s="4">
        <is>
          <t>web</t>
        </is>
      </c>
    </row>
    <row r="552" ht="22" customHeight="1">
      <c r="A552" t="inlineStr" s="4">
        <is>
          <t>POST</t>
        </is>
      </c>
      <c r="B552" t="inlineStr" s="4">
        <is>
          <t>retail-shop/cart/add</t>
        </is>
      </c>
      <c r="C552" t="inlineStr" s="4">
        <is>
          <t>souvenir.cart.add</t>
        </is>
      </c>
      <c r="D552" t="inlineStr" s="4">
        <is>
          <t>Retired Product Surface</t>
        </is>
      </c>
      <c r="E552" t="inlineStr" s="4">
        <is>
          <t>Guest/Public</t>
        </is>
      </c>
      <c r="F552" t="inlineStr" s="4">
        <is>
          <t>App\Http\Controllers\SouvenirCartController@add</t>
        </is>
      </c>
      <c r="G552" t="inlineStr" s="4">
        <is>
          <t>web</t>
        </is>
      </c>
    </row>
    <row r="553" ht="22" customHeight="1">
      <c r="A553" t="inlineStr" s="4">
        <is>
          <t>POST</t>
        </is>
      </c>
      <c r="B553" t="inlineStr" s="4">
        <is>
          <t>retail-shop/cart/clear</t>
        </is>
      </c>
      <c r="C553" t="inlineStr" s="4">
        <is>
          <t>souvenir.cart.clear</t>
        </is>
      </c>
      <c r="D553" t="inlineStr" s="4">
        <is>
          <t>Retired Product Surface</t>
        </is>
      </c>
      <c r="E553" t="inlineStr" s="4">
        <is>
          <t>Guest/Public</t>
        </is>
      </c>
      <c r="F553" t="inlineStr" s="4">
        <is>
          <t>App\Http\Controllers\SouvenirCartController@clear</t>
        </is>
      </c>
      <c r="G553" t="inlineStr" s="4">
        <is>
          <t>web</t>
        </is>
      </c>
    </row>
    <row r="554" ht="22" customHeight="1">
      <c r="A554" t="inlineStr" s="4">
        <is>
          <t>POST</t>
        </is>
      </c>
      <c r="B554" t="inlineStr" s="4">
        <is>
          <t>retail-shop/cart/remove</t>
        </is>
      </c>
      <c r="C554" t="inlineStr" s="4">
        <is>
          <t>souvenir.cart.remove</t>
        </is>
      </c>
      <c r="D554" t="inlineStr" s="4">
        <is>
          <t>Retired Product Surface</t>
        </is>
      </c>
      <c r="E554" t="inlineStr" s="4">
        <is>
          <t>Guest/Public</t>
        </is>
      </c>
      <c r="F554" t="inlineStr" s="4">
        <is>
          <t>App\Http\Controllers\SouvenirCartController@remove</t>
        </is>
      </c>
      <c r="G554" t="inlineStr" s="4">
        <is>
          <t>web</t>
        </is>
      </c>
    </row>
    <row r="555" ht="22" customHeight="1">
      <c r="A555" t="inlineStr" s="4">
        <is>
          <t>POST</t>
        </is>
      </c>
      <c r="B555" t="inlineStr" s="4">
        <is>
          <t>retail-shop/cart/update</t>
        </is>
      </c>
      <c r="C555" t="inlineStr" s="4">
        <is>
          <t>souvenir.cart.update</t>
        </is>
      </c>
      <c r="D555" t="inlineStr" s="4">
        <is>
          <t>Retired Product Surface</t>
        </is>
      </c>
      <c r="E555" t="inlineStr" s="4">
        <is>
          <t>Guest/Public</t>
        </is>
      </c>
      <c r="F555" t="inlineStr" s="4">
        <is>
          <t>App\Http\Controllers\SouvenirCartController@update</t>
        </is>
      </c>
      <c r="G555" t="inlineStr" s="4">
        <is>
          <t>web</t>
        </is>
      </c>
    </row>
    <row r="556" ht="22" customHeight="1">
      <c r="A556" t="inlineStr" s="4">
        <is>
          <t>GET|HEAD</t>
        </is>
      </c>
      <c r="B556" t="inlineStr" s="4">
        <is>
          <t>retail-shop/checkout</t>
        </is>
      </c>
      <c r="C556" t="inlineStr" s="4">
        <is>
          <t>souvenir.checkout.review</t>
        </is>
      </c>
      <c r="D556" t="inlineStr" s="4">
        <is>
          <t>Retired Product Surface</t>
        </is>
      </c>
      <c r="E556" t="inlineStr" s="4">
        <is>
          <t>Guest/Public</t>
        </is>
      </c>
      <c r="F556" t="inlineStr" s="4">
        <is>
          <t>App\Http\Controllers\SouvenirBookingController@review</t>
        </is>
      </c>
      <c r="G556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557" ht="22" customHeight="1">
      <c r="A557" t="inlineStr" s="4">
        <is>
          <t>POST</t>
        </is>
      </c>
      <c r="B557" t="inlineStr" s="4">
        <is>
          <t>retail-shop/checkout/confirm</t>
        </is>
      </c>
      <c r="C557" t="inlineStr" s="4">
        <is>
          <t>souvenir.checkout.confirm</t>
        </is>
      </c>
      <c r="D557" t="inlineStr" s="4">
        <is>
          <t>Retired Product Surface</t>
        </is>
      </c>
      <c r="E557" t="inlineStr" s="4">
        <is>
          <t>Guest/Public</t>
        </is>
      </c>
      <c r="F557" t="inlineStr" s="4">
        <is>
          <t>App\Http\Controllers\SouvenirBookingController@confirm</t>
        </is>
      </c>
      <c r="G557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558" ht="22" customHeight="1">
      <c r="A558" t="inlineStr" s="4">
        <is>
          <t>GET|HEAD</t>
        </is>
      </c>
      <c r="B558" t="inlineStr" s="4">
        <is>
          <t>retail-shop/{product}</t>
        </is>
      </c>
      <c r="C558" t="inlineStr" s="4">
        <is>
          <t>souvenir.show</t>
        </is>
      </c>
      <c r="D558" t="inlineStr" s="4">
        <is>
          <t>Retired Product Surface</t>
        </is>
      </c>
      <c r="E558" t="inlineStr" s="4">
        <is>
          <t>Guest/Public</t>
        </is>
      </c>
      <c r="F558" t="inlineStr" s="4">
        <is>
          <t>App\Http\Controllers\PublicSouvenirController@show</t>
        </is>
      </c>
      <c r="G558" t="inlineStr" s="4">
        <is>
          <t>web</t>
        </is>
      </c>
    </row>
    <row r="559" ht="22" customHeight="1">
      <c r="A559" t="inlineStr" s="4">
        <is>
          <t>POST</t>
        </is>
      </c>
      <c r="B559" t="inlineStr" s="4">
        <is>
          <t>reviews</t>
        </is>
      </c>
      <c r="C559" t="inlineStr" s="4">
        <is>
          <t>reviews.store</t>
        </is>
      </c>
      <c r="D559" t="inlineStr" s="4">
        <is>
          <t>Other / Legacy / Shared</t>
        </is>
      </c>
      <c r="E559" t="inlineStr" s="4">
        <is>
          <t>Guest/Public</t>
        </is>
      </c>
      <c r="F559" t="inlineStr" s="4">
        <is>
          <t>App\Http\Controllers\PublicReviewController@store</t>
        </is>
      </c>
      <c r="G559" t="inlineStr" s="4">
        <is>
          <t>web, Illuminate\Auth\Middleware\Authenticate, Illuminate\Auth\Middleware\EnsureEmailIsVerified, App\Http\Middleware\LogUserActivity</t>
        </is>
      </c>
    </row>
    <row r="560" ht="22" customHeight="1">
      <c r="A560" t="inlineStr" s="4">
        <is>
          <t>GET|HEAD</t>
        </is>
      </c>
      <c r="B560" t="inlineStr" s="4">
        <is>
          <t>reviews/public</t>
        </is>
      </c>
      <c r="C560" t="inlineStr" s="4">
        <is>
          <t>reviews.public.index</t>
        </is>
      </c>
      <c r="D560" t="inlineStr" s="4">
        <is>
          <t>Other / Legacy / Shared</t>
        </is>
      </c>
      <c r="E560" t="inlineStr" s="4">
        <is>
          <t>Guest/Public</t>
        </is>
      </c>
      <c r="F560" t="inlineStr" s="4">
        <is>
          <t>App\Http\Controllers\PublicReviewController@index</t>
        </is>
      </c>
      <c r="G560" t="inlineStr" s="4">
        <is>
          <t>web</t>
        </is>
      </c>
    </row>
    <row r="561" ht="22" customHeight="1">
      <c r="A561" t="inlineStr" s="4">
        <is>
          <t>GET|HEAD</t>
        </is>
      </c>
      <c r="B561" t="inlineStr" s="4">
        <is>
          <t>room-inventories</t>
        </is>
      </c>
      <c r="C561" t="inlineStr" s="4">
        <is>
          <t>room-inventories.index</t>
        </is>
      </c>
      <c r="D561" t="inlineStr" s="4">
        <is>
          <t>Other / Legacy / Shared</t>
        </is>
      </c>
      <c r="E561" t="inlineStr" s="4">
        <is>
          <t>Guest/Public</t>
        </is>
      </c>
      <c r="F561" t="inlineStr" s="4">
        <is>
          <t>App\Http\Controllers\RoomInventoryController@index</t>
        </is>
      </c>
      <c r="G561" t="inlineStr" s="4">
        <is>
          <t>web, Illuminate\Auth\Middleware\Authenticate, Illuminate\Auth\Middleware\EnsureEmailIsVerified, App\Http\Middleware\EnsureAdmin, App\Http\Middleware\LogAdminActivity</t>
        </is>
      </c>
    </row>
    <row r="562" ht="22" customHeight="1">
      <c r="A562" t="inlineStr" s="4">
        <is>
          <t>POST</t>
        </is>
      </c>
      <c r="B562" t="inlineStr" s="4">
        <is>
          <t>room-inventories</t>
        </is>
      </c>
      <c r="C562" t="inlineStr" s="4">
        <is>
          <t>room-inventories.store</t>
        </is>
      </c>
      <c r="D562" t="inlineStr" s="4">
        <is>
          <t>Other / Legacy / Shared</t>
        </is>
      </c>
      <c r="E562" t="inlineStr" s="4">
        <is>
          <t>Guest/Public</t>
        </is>
      </c>
      <c r="F562" t="inlineStr" s="4">
        <is>
          <t>App\Http\Controllers\RoomInventoryController@store</t>
        </is>
      </c>
      <c r="G562" t="inlineStr" s="4">
        <is>
          <t>web, Illuminate\Auth\Middleware\Authenticate, Illuminate\Auth\Middleware\EnsureEmailIsVerified, App\Http\Middleware\EnsureAdmin, App\Http\Middleware\LogAdminActivity</t>
        </is>
      </c>
    </row>
    <row r="563" ht="22" customHeight="1">
      <c r="A563" t="inlineStr" s="4">
        <is>
          <t>DELETE</t>
        </is>
      </c>
      <c r="B563" t="inlineStr" s="4">
        <is>
          <t>room-inventories/bulk</t>
        </is>
      </c>
      <c r="C563" t="inlineStr" s="4">
        <is>
          <t>room-inventories.bulk-destroy</t>
        </is>
      </c>
      <c r="D563" t="inlineStr" s="4">
        <is>
          <t>Other / Legacy / Shared</t>
        </is>
      </c>
      <c r="E563" t="inlineStr" s="4">
        <is>
          <t>Guest/Public</t>
        </is>
      </c>
      <c r="F563" t="inlineStr" s="4">
        <is>
          <t>App\Http\Controllers\RoomInventoryController@bulkDestroy</t>
        </is>
      </c>
      <c r="G563" t="inlineStr" s="4">
        <is>
          <t>web, Illuminate\Auth\Middleware\Authenticate, Illuminate\Auth\Middleware\EnsureEmailIsVerified, App\Http\Middleware\EnsureAdmin, App\Http\Middleware\LogAdminActivity</t>
        </is>
      </c>
    </row>
    <row r="564" ht="22" customHeight="1">
      <c r="A564" t="inlineStr" s="4">
        <is>
          <t>GET|HEAD</t>
        </is>
      </c>
      <c r="B564" t="inlineStr" s="4">
        <is>
          <t>room-inventories/create</t>
        </is>
      </c>
      <c r="C564" t="inlineStr" s="4">
        <is>
          <t>room-inventories.create</t>
        </is>
      </c>
      <c r="D564" t="inlineStr" s="4">
        <is>
          <t>Other / Legacy / Shared</t>
        </is>
      </c>
      <c r="E564" t="inlineStr" s="4">
        <is>
          <t>Guest/Public</t>
        </is>
      </c>
      <c r="F564" t="inlineStr" s="4">
        <is>
          <t>App\Http\Controllers\RoomInventoryController@create</t>
        </is>
      </c>
      <c r="G564" t="inlineStr" s="4">
        <is>
          <t>web, Illuminate\Auth\Middleware\Authenticate, Illuminate\Auth\Middleware\EnsureEmailIsVerified, App\Http\Middleware\EnsureAdmin, App\Http\Middleware\LogAdminActivity</t>
        </is>
      </c>
    </row>
    <row r="565" ht="22" customHeight="1">
      <c r="A565" t="inlineStr" s="4">
        <is>
          <t>PUT|PATCH</t>
        </is>
      </c>
      <c r="B565" t="inlineStr" s="4">
        <is>
          <t>room-inventories/{room_inventory}</t>
        </is>
      </c>
      <c r="C565" t="inlineStr" s="4">
        <is>
          <t>room-inventories.update</t>
        </is>
      </c>
      <c r="D565" t="inlineStr" s="4">
        <is>
          <t>Other / Legacy / Shared</t>
        </is>
      </c>
      <c r="E565" t="inlineStr" s="4">
        <is>
          <t>Guest/Public</t>
        </is>
      </c>
      <c r="F565" t="inlineStr" s="4">
        <is>
          <t>App\Http\Controllers\RoomInventoryController@update</t>
        </is>
      </c>
      <c r="G565" t="inlineStr" s="4">
        <is>
          <t>web, Illuminate\Auth\Middleware\Authenticate, Illuminate\Auth\Middleware\EnsureEmailIsVerified, App\Http\Middleware\EnsureAdmin, App\Http\Middleware\LogAdminActivity</t>
        </is>
      </c>
    </row>
    <row r="566" ht="22" customHeight="1">
      <c r="A566" t="inlineStr" s="4">
        <is>
          <t>DELETE</t>
        </is>
      </c>
      <c r="B566" t="inlineStr" s="4">
        <is>
          <t>room-inventories/{room_inventory}</t>
        </is>
      </c>
      <c r="C566" t="inlineStr" s="4">
        <is>
          <t>room-inventories.destroy</t>
        </is>
      </c>
      <c r="D566" t="inlineStr" s="4">
        <is>
          <t>Other / Legacy / Shared</t>
        </is>
      </c>
      <c r="E566" t="inlineStr" s="4">
        <is>
          <t>Guest/Public</t>
        </is>
      </c>
      <c r="F566" t="inlineStr" s="4">
        <is>
          <t>App\Http\Controllers\RoomInventoryController@destroy</t>
        </is>
      </c>
      <c r="G566" t="inlineStr" s="4">
        <is>
          <t>web, Illuminate\Auth\Middleware\Authenticate, Illuminate\Auth\Middleware\EnsureEmailIsVerified, App\Http\Middleware\EnsureAdmin, App\Http\Middleware\LogAdminActivity</t>
        </is>
      </c>
    </row>
    <row r="567" ht="22" customHeight="1">
      <c r="A567" t="inlineStr" s="4">
        <is>
          <t>GET|HEAD</t>
        </is>
      </c>
      <c r="B567" t="inlineStr" s="4">
        <is>
          <t>room-inventories/{room_inventory}/edit</t>
        </is>
      </c>
      <c r="C567" t="inlineStr" s="4">
        <is>
          <t>room-inventories.edit</t>
        </is>
      </c>
      <c r="D567" t="inlineStr" s="4">
        <is>
          <t>Other / Legacy / Shared</t>
        </is>
      </c>
      <c r="E567" t="inlineStr" s="4">
        <is>
          <t>Guest/Public</t>
        </is>
      </c>
      <c r="F567" t="inlineStr" s="4">
        <is>
          <t>App\Http\Controllers\RoomInventoryController@edit</t>
        </is>
      </c>
      <c r="G567" t="inlineStr" s="4">
        <is>
          <t>web, Illuminate\Auth\Middleware\Authenticate, Illuminate\Auth\Middleware\EnsureEmailIsVerified, App\Http\Middleware\EnsureAdmin, App\Http\Middleware\LogAdminActivity</t>
        </is>
      </c>
    </row>
    <row r="568" ht="22" customHeight="1">
      <c r="A568" t="inlineStr" s="4">
        <is>
          <t>GET|HEAD</t>
        </is>
      </c>
      <c r="B568" t="inlineStr" s="4">
        <is>
          <t>room-types</t>
        </is>
      </c>
      <c r="C568" t="inlineStr" s="4">
        <is>
          <t>room-types.index</t>
        </is>
      </c>
      <c r="D568" t="inlineStr" s="4">
        <is>
          <t>Other / Legacy / Shared</t>
        </is>
      </c>
      <c r="E568" t="inlineStr" s="4">
        <is>
          <t>Guest/Public</t>
        </is>
      </c>
      <c r="F568" t="inlineStr" s="4">
        <is>
          <t>App\Http\Controllers\RoomTypeController@index</t>
        </is>
      </c>
      <c r="G568" t="inlineStr" s="4">
        <is>
          <t>web, Illuminate\Auth\Middleware\Authenticate, Illuminate\Auth\Middleware\EnsureEmailIsVerified, App\Http\Middleware\EnsureAdmin, App\Http\Middleware\LogAdminActivity</t>
        </is>
      </c>
    </row>
    <row r="569" ht="22" customHeight="1">
      <c r="A569" t="inlineStr" s="4">
        <is>
          <t>POST</t>
        </is>
      </c>
      <c r="B569" t="inlineStr" s="4">
        <is>
          <t>room-types</t>
        </is>
      </c>
      <c r="C569" t="inlineStr" s="4">
        <is>
          <t>room-types.store</t>
        </is>
      </c>
      <c r="D569" t="inlineStr" s="4">
        <is>
          <t>Other / Legacy / Shared</t>
        </is>
      </c>
      <c r="E569" t="inlineStr" s="4">
        <is>
          <t>Guest/Public</t>
        </is>
      </c>
      <c r="F569" t="inlineStr" s="4">
        <is>
          <t>App\Http\Controllers\RoomTypeController@store</t>
        </is>
      </c>
      <c r="G569" t="inlineStr" s="4">
        <is>
          <t>web, Illuminate\Auth\Middleware\Authenticate, Illuminate\Auth\Middleware\EnsureEmailIsVerified, App\Http\Middleware\EnsureAdmin, App\Http\Middleware\LogAdminActivity</t>
        </is>
      </c>
    </row>
    <row r="570" ht="22" customHeight="1">
      <c r="A570" t="inlineStr" s="4">
        <is>
          <t>GET|HEAD</t>
        </is>
      </c>
      <c r="B570" t="inlineStr" s="4">
        <is>
          <t>room-types/create</t>
        </is>
      </c>
      <c r="C570" t="inlineStr" s="4">
        <is>
          <t>room-types.create</t>
        </is>
      </c>
      <c r="D570" t="inlineStr" s="4">
        <is>
          <t>Other / Legacy / Shared</t>
        </is>
      </c>
      <c r="E570" t="inlineStr" s="4">
        <is>
          <t>Guest/Public</t>
        </is>
      </c>
      <c r="F570" t="inlineStr" s="4">
        <is>
          <t>App\Http\Controllers\RoomTypeController@create</t>
        </is>
      </c>
      <c r="G570" t="inlineStr" s="4">
        <is>
          <t>web, Illuminate\Auth\Middleware\Authenticate, Illuminate\Auth\Middleware\EnsureEmailIsVerified, App\Http\Middleware\EnsureAdmin, App\Http\Middleware\LogAdminActivity</t>
        </is>
      </c>
    </row>
    <row r="571" ht="22" customHeight="1">
      <c r="A571" t="inlineStr" s="4">
        <is>
          <t>DELETE</t>
        </is>
      </c>
      <c r="B571" t="inlineStr" s="4">
        <is>
          <t>room-types/{roomType}/images/{roomImage}</t>
        </is>
      </c>
      <c r="C571" t="inlineStr" s="4">
        <is>
          <t>room-types.images.destroy</t>
        </is>
      </c>
      <c r="D571" t="inlineStr" s="4">
        <is>
          <t>Other / Legacy / Shared</t>
        </is>
      </c>
      <c r="E571" t="inlineStr" s="4">
        <is>
          <t>Guest/Public</t>
        </is>
      </c>
      <c r="F571" t="inlineStr" s="4">
        <is>
          <t>App\Http\Controllers\RoomTypeController@destroyImage</t>
        </is>
      </c>
      <c r="G571" t="inlineStr" s="4">
        <is>
          <t>web, Illuminate\Auth\Middleware\Authenticate, Illuminate\Auth\Middleware\EnsureEmailIsVerified, App\Http\Middleware\EnsureAdmin, App\Http\Middleware\LogAdminActivity</t>
        </is>
      </c>
    </row>
    <row r="572" ht="22" customHeight="1">
      <c r="A572" t="inlineStr" s="4">
        <is>
          <t>GET|HEAD</t>
        </is>
      </c>
      <c r="B572" t="inlineStr" s="4">
        <is>
          <t>room-types/{room_type}</t>
        </is>
      </c>
      <c r="C572" t="inlineStr" s="4">
        <is>
          <t>room-types.show</t>
        </is>
      </c>
      <c r="D572" t="inlineStr" s="4">
        <is>
          <t>Other / Legacy / Shared</t>
        </is>
      </c>
      <c r="E572" t="inlineStr" s="4">
        <is>
          <t>Guest/Public</t>
        </is>
      </c>
      <c r="F572" t="inlineStr" s="4">
        <is>
          <t>App\Http\Controllers\RoomTypeController@show</t>
        </is>
      </c>
      <c r="G572" t="inlineStr" s="4">
        <is>
          <t>web, Illuminate\Auth\Middleware\Authenticate, Illuminate\Auth\Middleware\EnsureEmailIsVerified, App\Http\Middleware\EnsureAdmin, App\Http\Middleware\LogAdminActivity</t>
        </is>
      </c>
    </row>
    <row r="573" ht="22" customHeight="1">
      <c r="A573" t="inlineStr" s="4">
        <is>
          <t>PUT|PATCH</t>
        </is>
      </c>
      <c r="B573" t="inlineStr" s="4">
        <is>
          <t>room-types/{room_type}</t>
        </is>
      </c>
      <c r="C573" t="inlineStr" s="4">
        <is>
          <t>room-types.update</t>
        </is>
      </c>
      <c r="D573" t="inlineStr" s="4">
        <is>
          <t>Other / Legacy / Shared</t>
        </is>
      </c>
      <c r="E573" t="inlineStr" s="4">
        <is>
          <t>Guest/Public</t>
        </is>
      </c>
      <c r="F573" t="inlineStr" s="4">
        <is>
          <t>App\Http\Controllers\RoomTypeController@update</t>
        </is>
      </c>
      <c r="G573" t="inlineStr" s="4">
        <is>
          <t>web, Illuminate\Auth\Middleware\Authenticate, Illuminate\Auth\Middleware\EnsureEmailIsVerified, App\Http\Middleware\EnsureAdmin, App\Http\Middleware\LogAdminActivity</t>
        </is>
      </c>
    </row>
    <row r="574" ht="22" customHeight="1">
      <c r="A574" t="inlineStr" s="4">
        <is>
          <t>DELETE</t>
        </is>
      </c>
      <c r="B574" t="inlineStr" s="4">
        <is>
          <t>room-types/{room_type}</t>
        </is>
      </c>
      <c r="C574" t="inlineStr" s="4">
        <is>
          <t>room-types.destroy</t>
        </is>
      </c>
      <c r="D574" t="inlineStr" s="4">
        <is>
          <t>Other / Legacy / Shared</t>
        </is>
      </c>
      <c r="E574" t="inlineStr" s="4">
        <is>
          <t>Guest/Public</t>
        </is>
      </c>
      <c r="F574" t="inlineStr" s="4">
        <is>
          <t>App\Http\Controllers\RoomTypeController@destroy</t>
        </is>
      </c>
      <c r="G574" t="inlineStr" s="4">
        <is>
          <t>web, Illuminate\Auth\Middleware\Authenticate, Illuminate\Auth\Middleware\EnsureEmailIsVerified, App\Http\Middleware\EnsureAdmin, App\Http\Middleware\LogAdminActivity</t>
        </is>
      </c>
    </row>
    <row r="575" ht="22" customHeight="1">
      <c r="A575" t="inlineStr" s="4">
        <is>
          <t>GET|HEAD</t>
        </is>
      </c>
      <c r="B575" t="inlineStr" s="4">
        <is>
          <t>room-types/{room_type}/edit</t>
        </is>
      </c>
      <c r="C575" t="inlineStr" s="4">
        <is>
          <t>room-types.edit</t>
        </is>
      </c>
      <c r="D575" t="inlineStr" s="4">
        <is>
          <t>Other / Legacy / Shared</t>
        </is>
      </c>
      <c r="E575" t="inlineStr" s="4">
        <is>
          <t>Guest/Public</t>
        </is>
      </c>
      <c r="F575" t="inlineStr" s="4">
        <is>
          <t>App\Http\Controllers\RoomTypeController@edit</t>
        </is>
      </c>
      <c r="G575" t="inlineStr" s="4">
        <is>
          <t>web, Illuminate\Auth\Middleware\Authenticate, Illuminate\Auth\Middleware\EnsureEmailIsVerified, App\Http\Middleware\EnsureAdmin, App\Http\Middleware\LogAdminActivity</t>
        </is>
      </c>
    </row>
    <row r="576" ht="22" customHeight="1">
      <c r="A576" t="inlineStr" s="4">
        <is>
          <t>GET|HEAD</t>
        </is>
      </c>
      <c r="B576" t="inlineStr" s="4">
        <is>
          <t>sanctum/csrf-cookie</t>
        </is>
      </c>
      <c r="C576" t="inlineStr" s="4">
        <is>
          <t>sanctum.csrf-cookie</t>
        </is>
      </c>
      <c r="D576" t="inlineStr" s="4">
        <is>
          <t>Other / Legacy / Shared</t>
        </is>
      </c>
      <c r="E576" t="inlineStr" s="4">
        <is>
          <t>Guest/Public</t>
        </is>
      </c>
      <c r="F576" t="inlineStr" s="4">
        <is>
          <t>Laravel\Sanctum\Http\Controllers\CsrfCookieController@show</t>
        </is>
      </c>
      <c r="G576" t="inlineStr" s="4">
        <is>
          <t>web</t>
        </is>
      </c>
    </row>
    <row r="577" ht="22" customHeight="1">
      <c r="A577" t="inlineStr" s="4">
        <is>
          <t>GET|HEAD|POST|PUT|PATCH|DELETE|OPTIONS</t>
        </is>
      </c>
      <c r="B577" t="inlineStr" s="4">
        <is>
          <t>settings</t>
        </is>
      </c>
      <c r="C577" s="4"/>
      <c r="D577" t="inlineStr" s="4">
        <is>
          <t>Settings</t>
        </is>
      </c>
      <c r="E577" t="inlineStr" s="4">
        <is>
          <t>Guest/Public</t>
        </is>
      </c>
      <c r="F577" t="inlineStr" s="4">
        <is>
          <t>Illuminate\Routing\RedirectController</t>
        </is>
      </c>
      <c r="G577" t="inlineStr" s="4">
        <is>
          <t>web, Illuminate\Auth\Middleware\Authenticate</t>
        </is>
      </c>
    </row>
    <row r="578" ht="22" customHeight="1">
      <c r="A578" t="inlineStr" s="4">
        <is>
          <t>GET|HEAD</t>
        </is>
      </c>
      <c r="B578" t="inlineStr" s="4">
        <is>
          <t>settings/appearance</t>
        </is>
      </c>
      <c r="C578" t="inlineStr" s="4">
        <is>
          <t>appearance.edit</t>
        </is>
      </c>
      <c r="D578" t="inlineStr" s="4">
        <is>
          <t>Settings</t>
        </is>
      </c>
      <c r="E578" t="inlineStr" s="4">
        <is>
          <t>Guest/Public</t>
        </is>
      </c>
      <c r="F578" t="inlineStr" s="4">
        <is>
          <t>Closure</t>
        </is>
      </c>
      <c r="G578" t="inlineStr" s="4">
        <is>
          <t>web, Illuminate\Auth\Middleware\Authenticate, Illuminate\Auth\Middleware\EnsureEmailIsVerified, App\Http\Middleware\EnsureUser</t>
        </is>
      </c>
    </row>
    <row r="579" ht="22" customHeight="1">
      <c r="A579" t="inlineStr" s="4">
        <is>
          <t>GET|HEAD</t>
        </is>
      </c>
      <c r="B579" t="inlineStr" s="4">
        <is>
          <t>settings/password</t>
        </is>
      </c>
      <c r="C579" t="inlineStr" s="4">
        <is>
          <t>user-password.edit</t>
        </is>
      </c>
      <c r="D579" t="inlineStr" s="4">
        <is>
          <t>Settings</t>
        </is>
      </c>
      <c r="E579" t="inlineStr" s="4">
        <is>
          <t>Guest/Public</t>
        </is>
      </c>
      <c r="F579" t="inlineStr" s="4">
        <is>
          <t>App\Http\Controllers\Settings\PasswordController@edit</t>
        </is>
      </c>
      <c r="G579" t="inlineStr" s="4">
        <is>
          <t>web, Illuminate\Auth\Middleware\Authenticate, Illuminate\Auth\Middleware\EnsureEmailIsVerified</t>
        </is>
      </c>
    </row>
    <row r="580" ht="22" customHeight="1">
      <c r="A580" t="inlineStr" s="4">
        <is>
          <t>PUT</t>
        </is>
      </c>
      <c r="B580" t="inlineStr" s="4">
        <is>
          <t>settings/password</t>
        </is>
      </c>
      <c r="C580" t="inlineStr" s="4">
        <is>
          <t>user-password.update</t>
        </is>
      </c>
      <c r="D580" t="inlineStr" s="4">
        <is>
          <t>Settings</t>
        </is>
      </c>
      <c r="E580" t="inlineStr" s="4">
        <is>
          <t>Guest/Public</t>
        </is>
      </c>
      <c r="F580" t="inlineStr" s="4">
        <is>
          <t>App\Http\Controllers\Settings\PasswordController@update</t>
        </is>
      </c>
      <c r="G580" t="inlineStr" s="4">
        <is>
          <t>web, Illuminate\Auth\Middleware\Authenticate, Illuminate\Auth\Middleware\EnsureEmailIsVerified, Illuminate\Routing\Middleware\ThrottleRequests:6,1</t>
        </is>
      </c>
    </row>
    <row r="581" ht="22" customHeight="1">
      <c r="A581" t="inlineStr" s="4">
        <is>
          <t>GET|HEAD</t>
        </is>
      </c>
      <c r="B581" t="inlineStr" s="4">
        <is>
          <t>settings/profile</t>
        </is>
      </c>
      <c r="C581" t="inlineStr" s="4">
        <is>
          <t>profile.edit</t>
        </is>
      </c>
      <c r="D581" t="inlineStr" s="4">
        <is>
          <t>Settings</t>
        </is>
      </c>
      <c r="E581" t="inlineStr" s="4">
        <is>
          <t>Guest/Public</t>
        </is>
      </c>
      <c r="F581" t="inlineStr" s="4">
        <is>
          <t>App\Http\Controllers\Settings\ProfileController@edit</t>
        </is>
      </c>
      <c r="G581" t="inlineStr" s="4">
        <is>
          <t>web, Illuminate\Auth\Middleware\Authenticate</t>
        </is>
      </c>
    </row>
    <row r="582" ht="22" customHeight="1">
      <c r="A582" t="inlineStr" s="4">
        <is>
          <t>PATCH</t>
        </is>
      </c>
      <c r="B582" t="inlineStr" s="4">
        <is>
          <t>settings/profile</t>
        </is>
      </c>
      <c r="C582" t="inlineStr" s="4">
        <is>
          <t>profile.update</t>
        </is>
      </c>
      <c r="D582" t="inlineStr" s="4">
        <is>
          <t>Settings</t>
        </is>
      </c>
      <c r="E582" t="inlineStr" s="4">
        <is>
          <t>Guest/Public</t>
        </is>
      </c>
      <c r="F582" t="inlineStr" s="4">
        <is>
          <t>App\Http\Controllers\Settings\ProfileController@update</t>
        </is>
      </c>
      <c r="G582" t="inlineStr" s="4">
        <is>
          <t>web, Illuminate\Auth\Middleware\Authenticate</t>
        </is>
      </c>
    </row>
    <row r="583" ht="22" customHeight="1">
      <c r="A583" t="inlineStr" s="4">
        <is>
          <t>DELETE</t>
        </is>
      </c>
      <c r="B583" t="inlineStr" s="4">
        <is>
          <t>settings/profile</t>
        </is>
      </c>
      <c r="C583" t="inlineStr" s="4">
        <is>
          <t>profile.destroy</t>
        </is>
      </c>
      <c r="D583" t="inlineStr" s="4">
        <is>
          <t>Settings</t>
        </is>
      </c>
      <c r="E583" t="inlineStr" s="4">
        <is>
          <t>Guest/Public</t>
        </is>
      </c>
      <c r="F583" t="inlineStr" s="4">
        <is>
          <t>App\Http\Controllers\Settings\ProfileController@destroy</t>
        </is>
      </c>
      <c r="G583" t="inlineStr" s="4">
        <is>
          <t>web, Illuminate\Auth\Middleware\Authenticate, Illuminate\Auth\Middleware\EnsureEmailIsVerified, App\Http\Middleware\EnsureUser</t>
        </is>
      </c>
    </row>
    <row r="584" ht="22" customHeight="1">
      <c r="A584" t="inlineStr" s="4">
        <is>
          <t>GET|HEAD</t>
        </is>
      </c>
      <c r="B584" t="inlineStr" s="4">
        <is>
          <t>settings/two-factor</t>
        </is>
      </c>
      <c r="C584" t="inlineStr" s="4">
        <is>
          <t>two-factor.show</t>
        </is>
      </c>
      <c r="D584" t="inlineStr" s="4">
        <is>
          <t>Settings</t>
        </is>
      </c>
      <c r="E584" t="inlineStr" s="4">
        <is>
          <t>Guest/Public</t>
        </is>
      </c>
      <c r="F584" t="inlineStr" s="4">
        <is>
          <t>App\Http\Controllers\Settings\TwoFactorAuthenticationController@show</t>
        </is>
      </c>
      <c r="G584" t="inlineStr" s="4">
        <is>
          <t>web, Illuminate\Auth\Middleware\Authenticate, Illuminate\Auth\Middleware\EnsureEmailIsVerified, App\Http\Middleware\EnsureUser, Illuminate\Auth\Middleware\RequirePassword</t>
        </is>
      </c>
    </row>
    <row r="585" ht="22" customHeight="1">
      <c r="A585" t="inlineStr" s="4">
        <is>
          <t>GET|HEAD</t>
        </is>
      </c>
      <c r="B585" t="inlineStr" s="4">
        <is>
          <t>sitemap.xml</t>
        </is>
      </c>
      <c r="C585" t="inlineStr" s="4">
        <is>
          <t>sitemap</t>
        </is>
      </c>
      <c r="D585" t="inlineStr" s="4">
        <is>
          <t>Other / Legacy / Shared</t>
        </is>
      </c>
      <c r="E585" t="inlineStr" s="4">
        <is>
          <t>Guest/Public</t>
        </is>
      </c>
      <c r="F585" t="inlineStr" s="4">
        <is>
          <t>App\Http\Controllers\SitemapController</t>
        </is>
      </c>
      <c r="G585" t="inlineStr" s="4">
        <is>
          <t>web</t>
        </is>
      </c>
    </row>
    <row r="586" ht="22" customHeight="1">
      <c r="A586" t="inlineStr" s="4">
        <is>
          <t>GET|HEAD|POST|PUT|PATCH|DELETE|OPTIONS</t>
        </is>
      </c>
      <c r="B586" t="inlineStr" s="4">
        <is>
          <t>souvenir</t>
        </is>
      </c>
      <c r="C586" s="4"/>
      <c r="D586" t="inlineStr" s="4">
        <is>
          <t>Retired Product Surface</t>
        </is>
      </c>
      <c r="E586" t="inlineStr" s="4">
        <is>
          <t>Guest/Public</t>
        </is>
      </c>
      <c r="F586" t="inlineStr" s="4">
        <is>
          <t>Illuminate\Routing\RedirectController</t>
        </is>
      </c>
      <c r="G586" t="inlineStr" s="4">
        <is>
          <t>web</t>
        </is>
      </c>
    </row>
    <row r="587" ht="22" customHeight="1">
      <c r="A587" t="inlineStr" s="4">
        <is>
          <t>GET|HEAD|POST|PUT|PATCH|DELETE|OPTIONS</t>
        </is>
      </c>
      <c r="B587" t="inlineStr" s="4">
        <is>
          <t>souvenir/booking/{order}</t>
        </is>
      </c>
      <c r="C587" s="4"/>
      <c r="D587" t="inlineStr" s="4">
        <is>
          <t>Retired Product Surface</t>
        </is>
      </c>
      <c r="E587" t="inlineStr" s="4">
        <is>
          <t>Guest/Public</t>
        </is>
      </c>
      <c r="F587" t="inlineStr" s="4">
        <is>
          <t>Illuminate\Routing\RedirectController</t>
        </is>
      </c>
      <c r="G587" t="inlineStr" s="4">
        <is>
          <t>web</t>
        </is>
      </c>
    </row>
    <row r="588" ht="22" customHeight="1">
      <c r="A588" t="inlineStr" s="4">
        <is>
          <t>GET|HEAD|POST|PUT|PATCH|DELETE|OPTIONS</t>
        </is>
      </c>
      <c r="B588" t="inlineStr" s="4">
        <is>
          <t>souvenir/booking/{order}/payment</t>
        </is>
      </c>
      <c r="C588" s="4"/>
      <c r="D588" t="inlineStr" s="4">
        <is>
          <t>Retired Product Surface</t>
        </is>
      </c>
      <c r="E588" t="inlineStr" s="4">
        <is>
          <t>Guest/Public</t>
        </is>
      </c>
      <c r="F588" t="inlineStr" s="4">
        <is>
          <t>Illuminate\Routing\RedirectController</t>
        </is>
      </c>
      <c r="G588" t="inlineStr" s="4">
        <is>
          <t>web</t>
        </is>
      </c>
    </row>
    <row r="589" ht="22" customHeight="1">
      <c r="A589" t="inlineStr" s="4">
        <is>
          <t>GET|HEAD|POST|PUT|PATCH|DELETE|OPTIONS</t>
        </is>
      </c>
      <c r="B589" t="inlineStr" s="4">
        <is>
          <t>souvenir/cart</t>
        </is>
      </c>
      <c r="C589" s="4"/>
      <c r="D589" t="inlineStr" s="4">
        <is>
          <t>Retired Product Surface</t>
        </is>
      </c>
      <c r="E589" t="inlineStr" s="4">
        <is>
          <t>Guest/Public</t>
        </is>
      </c>
      <c r="F589" t="inlineStr" s="4">
        <is>
          <t>Illuminate\Routing\RedirectController</t>
        </is>
      </c>
      <c r="G589" t="inlineStr" s="4">
        <is>
          <t>web</t>
        </is>
      </c>
    </row>
    <row r="590" ht="22" customHeight="1">
      <c r="A590" t="inlineStr" s="4">
        <is>
          <t>GET|HEAD|POST|PUT|PATCH|DELETE|OPTIONS</t>
        </is>
      </c>
      <c r="B590" t="inlineStr" s="4">
        <is>
          <t>souvenir/checkout</t>
        </is>
      </c>
      <c r="C590" s="4"/>
      <c r="D590" t="inlineStr" s="4">
        <is>
          <t>Retired Product Surface</t>
        </is>
      </c>
      <c r="E590" t="inlineStr" s="4">
        <is>
          <t>Guest/Public</t>
        </is>
      </c>
      <c r="F590" t="inlineStr" s="4">
        <is>
          <t>Illuminate\Routing\RedirectController</t>
        </is>
      </c>
      <c r="G590" t="inlineStr" s="4">
        <is>
          <t>web</t>
        </is>
      </c>
    </row>
    <row r="591" ht="22" customHeight="1">
      <c r="A591" t="inlineStr" s="4">
        <is>
          <t>GET|HEAD|POST|PUT|PATCH|DELETE|OPTIONS</t>
        </is>
      </c>
      <c r="B591" t="inlineStr" s="4">
        <is>
          <t>souvenir/{product}</t>
        </is>
      </c>
      <c r="C591" s="4"/>
      <c r="D591" t="inlineStr" s="4">
        <is>
          <t>Retired Product Surface</t>
        </is>
      </c>
      <c r="E591" t="inlineStr" s="4">
        <is>
          <t>Guest/Public</t>
        </is>
      </c>
      <c r="F591" t="inlineStr" s="4">
        <is>
          <t>Illuminate\Routing\RedirectController</t>
        </is>
      </c>
      <c r="G591" t="inlineStr" s="4">
        <is>
          <t>web</t>
        </is>
      </c>
    </row>
    <row r="592" ht="22" customHeight="1">
      <c r="A592" t="inlineStr" s="4">
        <is>
          <t>GET|HEAD</t>
        </is>
      </c>
      <c r="B592" t="inlineStr" s="4">
        <is>
          <t>special-programs</t>
        </is>
      </c>
      <c r="C592" t="inlineStr" s="4">
        <is>
          <t>special-programs.search</t>
        </is>
      </c>
      <c r="D592" t="inlineStr" s="4">
        <is>
          <t>Retired Product Surface</t>
        </is>
      </c>
      <c r="E592" t="inlineStr" s="4">
        <is>
          <t>Guest/Public</t>
        </is>
      </c>
      <c r="F592" t="inlineStr" s="4">
        <is>
          <t>App\Http\Controllers\PublicSpecialProgramController@index</t>
        </is>
      </c>
      <c r="G592" t="inlineStr" s="4">
        <is>
          <t>web</t>
        </is>
      </c>
    </row>
    <row r="593" ht="22" customHeight="1">
      <c r="A593" t="inlineStr" s="4">
        <is>
          <t>POST</t>
        </is>
      </c>
      <c r="B593" t="inlineStr" s="4">
        <is>
          <t>special-programs/booking/confirm</t>
        </is>
      </c>
      <c r="C593" t="inlineStr" s="4">
        <is>
          <t>special-programs.booking.confirm</t>
        </is>
      </c>
      <c r="D593" t="inlineStr" s="4">
        <is>
          <t>Retired Product Surface</t>
        </is>
      </c>
      <c r="E593" t="inlineStr" s="4">
        <is>
          <t>Guest/Public</t>
        </is>
      </c>
      <c r="F593" t="inlineStr" s="4">
        <is>
          <t>App\Http\Controllers\SpecialProgramBookingController@confirm</t>
        </is>
      </c>
      <c r="G593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594" ht="22" customHeight="1">
      <c r="A594" t="inlineStr" s="4">
        <is>
          <t>POST</t>
        </is>
      </c>
      <c r="B594" t="inlineStr" s="4">
        <is>
          <t>special-programs/booking/prepare</t>
        </is>
      </c>
      <c r="C594" t="inlineStr" s="4">
        <is>
          <t>special-programs.booking.prepare</t>
        </is>
      </c>
      <c r="D594" t="inlineStr" s="4">
        <is>
          <t>Retired Product Surface</t>
        </is>
      </c>
      <c r="E594" t="inlineStr" s="4">
        <is>
          <t>Guest/Public</t>
        </is>
      </c>
      <c r="F594" t="inlineStr" s="4">
        <is>
          <t>App\Http\Controllers\SpecialProgramBookingController@prepare</t>
        </is>
      </c>
      <c r="G594" t="inlineStr" s="4">
        <is>
          <t>web, App\Http\Middleware\EnsureTransactionsAvailable</t>
        </is>
      </c>
    </row>
    <row r="595" ht="22" customHeight="1">
      <c r="A595" t="inlineStr" s="4">
        <is>
          <t>GET|HEAD</t>
        </is>
      </c>
      <c r="B595" t="inlineStr" s="4">
        <is>
          <t>special-programs/booking/review</t>
        </is>
      </c>
      <c r="C595" t="inlineStr" s="4">
        <is>
          <t>special-programs.booking.review</t>
        </is>
      </c>
      <c r="D595" t="inlineStr" s="4">
        <is>
          <t>Retired Product Surface</t>
        </is>
      </c>
      <c r="E595" t="inlineStr" s="4">
        <is>
          <t>Guest/Public</t>
        </is>
      </c>
      <c r="F595" t="inlineStr" s="4">
        <is>
          <t>App\Http\Controllers\SpecialProgramBookingController@review</t>
        </is>
      </c>
      <c r="G595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596" ht="22" customHeight="1">
      <c r="A596" t="inlineStr" s="4">
        <is>
          <t>GET|HEAD</t>
        </is>
      </c>
      <c r="B596" t="inlineStr" s="4">
        <is>
          <t>special-programs/booking/{booking}</t>
        </is>
      </c>
      <c r="C596" t="inlineStr" s="4">
        <is>
          <t>special-programs.booking.show</t>
        </is>
      </c>
      <c r="D596" t="inlineStr" s="4">
        <is>
          <t>Retired Product Surface</t>
        </is>
      </c>
      <c r="E596" t="inlineStr" s="4">
        <is>
          <t>Guest/Public</t>
        </is>
      </c>
      <c r="F596" t="inlineStr" s="4">
        <is>
          <t>App\Http\Controllers\SpecialProgramBookingController@show</t>
        </is>
      </c>
      <c r="G596" t="inlineStr" s="4">
        <is>
          <t>web, Illuminate\Auth\Middleware\Authenticate, Illuminate\Auth\Middleware\EnsureEmailIsVerified, App\Http\Middleware\EnsureUser, App\Http\Middleware\LogUserActivity</t>
        </is>
      </c>
    </row>
    <row r="597" ht="22" customHeight="1">
      <c r="A597" t="inlineStr" s="4">
        <is>
          <t>GET|HEAD</t>
        </is>
      </c>
      <c r="B597" t="inlineStr" s="4">
        <is>
          <t>special-programs/booking/{booking}/payment</t>
        </is>
      </c>
      <c r="C597" t="inlineStr" s="4">
        <is>
          <t>special-programs.booking.payment</t>
        </is>
      </c>
      <c r="D597" t="inlineStr" s="4">
        <is>
          <t>Retired Product Surface</t>
        </is>
      </c>
      <c r="E597" t="inlineStr" s="4">
        <is>
          <t>Guest/Public</t>
        </is>
      </c>
      <c r="F597" t="inlineStr" s="4">
        <is>
          <t>App\Http\Controllers\SpecialProgramBookingController@payment</t>
        </is>
      </c>
      <c r="G597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598" ht="22" customHeight="1">
      <c r="A598" t="inlineStr" s="4">
        <is>
          <t>POST</t>
        </is>
      </c>
      <c r="B598" t="inlineStr" s="4">
        <is>
          <t>special-programs/booking/{booking}/payment</t>
        </is>
      </c>
      <c r="C598" t="inlineStr" s="4">
        <is>
          <t>special-programs.booking.pay</t>
        </is>
      </c>
      <c r="D598" t="inlineStr" s="4">
        <is>
          <t>Retired Product Surface</t>
        </is>
      </c>
      <c r="E598" t="inlineStr" s="4">
        <is>
          <t>Guest/Public</t>
        </is>
      </c>
      <c r="F598" t="inlineStr" s="4">
        <is>
          <t>App\Http\Controllers\SpecialProgramBookingController@pay</t>
        </is>
      </c>
      <c r="G598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599" ht="22" customHeight="1">
      <c r="A599" t="inlineStr" s="4">
        <is>
          <t>GET|HEAD</t>
        </is>
      </c>
      <c r="B599" t="inlineStr" s="4">
        <is>
          <t>special-programs/booking/{booking}/ticket</t>
        </is>
      </c>
      <c r="C599" t="inlineStr" s="4">
        <is>
          <t>special-programs.booking.ticket</t>
        </is>
      </c>
      <c r="D599" t="inlineStr" s="4">
        <is>
          <t>Retired Product Surface</t>
        </is>
      </c>
      <c r="E599" t="inlineStr" s="4">
        <is>
          <t>Guest/Public</t>
        </is>
      </c>
      <c r="F599" t="inlineStr" s="4">
        <is>
          <t>App\Http\Controllers\SpecialProgramBookingController@ticket</t>
        </is>
      </c>
      <c r="G599" t="inlineStr" s="4">
        <is>
          <t>web, Illuminate\Auth\Middleware\Authenticate, Illuminate\Auth\Middleware\EnsureEmailIsVerified, App\Http\Middleware\EnsureUser, App\Http\Middleware\LogUserActivity</t>
        </is>
      </c>
    </row>
    <row r="600" ht="22" customHeight="1">
      <c r="A600" t="inlineStr" s="4">
        <is>
          <t>GET|HEAD</t>
        </is>
      </c>
      <c r="B600" t="inlineStr" s="4">
        <is>
          <t>special-programs/{program}</t>
        </is>
      </c>
      <c r="C600" t="inlineStr" s="4">
        <is>
          <t>special-programs.show</t>
        </is>
      </c>
      <c r="D600" t="inlineStr" s="4">
        <is>
          <t>Retired Product Surface</t>
        </is>
      </c>
      <c r="E600" t="inlineStr" s="4">
        <is>
          <t>Guest/Public</t>
        </is>
      </c>
      <c r="F600" t="inlineStr" s="4">
        <is>
          <t>App\Http\Controllers\PublicSpecialProgramController@show</t>
        </is>
      </c>
      <c r="G600" t="inlineStr" s="4">
        <is>
          <t>web</t>
        </is>
      </c>
    </row>
    <row r="601" ht="22" customHeight="1">
      <c r="A601" t="inlineStr" s="4">
        <is>
          <t>GET|HEAD</t>
        </is>
      </c>
      <c r="B601" t="inlineStr" s="4">
        <is>
          <t>stay</t>
        </is>
      </c>
      <c r="C601" t="inlineStr" s="4">
        <is>
          <t>public.hotels.search</t>
        </is>
      </c>
      <c r="D601" t="inlineStr" s="4">
        <is>
          <t>Other / Legacy / Shared</t>
        </is>
      </c>
      <c r="E601" t="inlineStr" s="4">
        <is>
          <t>Guest/Public</t>
        </is>
      </c>
      <c r="F601" t="inlineStr" s="4">
        <is>
          <t>App\Http\Controllers\PublicHotelController@search</t>
        </is>
      </c>
      <c r="G601" t="inlineStr" s="4">
        <is>
          <t>web</t>
        </is>
      </c>
    </row>
    <row r="602" ht="22" customHeight="1">
      <c r="A602" t="inlineStr" s="4">
        <is>
          <t>GET|HEAD</t>
        </is>
      </c>
      <c r="B602" t="inlineStr" s="4">
        <is>
          <t>stay/hotels/{hotel}</t>
        </is>
      </c>
      <c r="C602" t="inlineStr" s="4">
        <is>
          <t>public.hotels.show</t>
        </is>
      </c>
      <c r="D602" t="inlineStr" s="4">
        <is>
          <t>Other / Legacy / Shared</t>
        </is>
      </c>
      <c r="E602" t="inlineStr" s="4">
        <is>
          <t>Guest/Public</t>
        </is>
      </c>
      <c r="F602" t="inlineStr" s="4">
        <is>
          <t>App\Http\Controllers\PublicHotelController@show</t>
        </is>
      </c>
      <c r="G602" t="inlineStr" s="4">
        <is>
          <t>web</t>
        </is>
      </c>
    </row>
    <row r="603" ht="22" customHeight="1">
      <c r="A603" t="inlineStr" s="4">
        <is>
          <t>GET|HEAD</t>
        </is>
      </c>
      <c r="B603" t="inlineStr" s="4">
        <is>
          <t>storage/{path}</t>
        </is>
      </c>
      <c r="C603" t="inlineStr" s="4">
        <is>
          <t>storage.local</t>
        </is>
      </c>
      <c r="D603" t="inlineStr" s="4">
        <is>
          <t>Other / Legacy / Shared</t>
        </is>
      </c>
      <c r="E603" t="inlineStr" s="4">
        <is>
          <t>Guest/Public</t>
        </is>
      </c>
      <c r="F603" t="inlineStr" s="4">
        <is>
          <t>Closure</t>
        </is>
      </c>
      <c r="G603" s="4"/>
    </row>
    <row r="604" ht="22" customHeight="1">
      <c r="A604" t="inlineStr" s="4">
        <is>
          <t>PUT</t>
        </is>
      </c>
      <c r="B604" t="inlineStr" s="4">
        <is>
          <t>storage/{path}</t>
        </is>
      </c>
      <c r="C604" t="inlineStr" s="4">
        <is>
          <t>storage.local.upload</t>
        </is>
      </c>
      <c r="D604" t="inlineStr" s="4">
        <is>
          <t>Other / Legacy / Shared</t>
        </is>
      </c>
      <c r="E604" t="inlineStr" s="4">
        <is>
          <t>Guest/Public</t>
        </is>
      </c>
      <c r="F604" t="inlineStr" s="4">
        <is>
          <t>Closure</t>
        </is>
      </c>
      <c r="G604" s="4"/>
    </row>
    <row r="605" ht="22" customHeight="1">
      <c r="A605" t="inlineStr" s="4">
        <is>
          <t>GET|HEAD</t>
        </is>
      </c>
      <c r="B605" t="inlineStr" s="4">
        <is>
          <t>terms-and-conditions</t>
        </is>
      </c>
      <c r="C605" t="inlineStr" s="4">
        <is>
          <t>public.terms-and-conditions</t>
        </is>
      </c>
      <c r="D605" t="inlineStr" s="4">
        <is>
          <t>Public Web</t>
        </is>
      </c>
      <c r="E605" t="inlineStr" s="4">
        <is>
          <t>Guest/Public</t>
        </is>
      </c>
      <c r="F605" t="inlineStr" s="4">
        <is>
          <t>App\Http\Controllers\PublicPrivacyPolicyController@terms</t>
        </is>
      </c>
      <c r="G605" t="inlineStr" s="4">
        <is>
          <t>web</t>
        </is>
      </c>
    </row>
    <row r="606" ht="22" customHeight="1">
      <c r="A606" t="inlineStr" s="4">
        <is>
          <t>GET|HEAD</t>
        </is>
      </c>
      <c r="B606" t="inlineStr" s="4">
        <is>
          <t>tickets/scan</t>
        </is>
      </c>
      <c r="C606" t="inlineStr" s="4">
        <is>
          <t>tickets.scan.index</t>
        </is>
      </c>
      <c r="D606" t="inlineStr" s="4">
        <is>
          <t>Other / Legacy / Shared</t>
        </is>
      </c>
      <c r="E606" t="inlineStr" s="4">
        <is>
          <t>Guest/Public</t>
        </is>
      </c>
      <c r="F606" t="inlineStr" s="4">
        <is>
          <t>App\Http\Controllers\PublicWisataTicketScanController@index</t>
        </is>
      </c>
      <c r="G606" t="inlineStr" s="4">
        <is>
          <t>web, Illuminate\Auth\Middleware\Authenticate, Illuminate\Auth\Middleware\EnsureEmailIsVerified, App\Http\Middleware\EnsureUser, App\Http\Middleware\LogUserActivity</t>
        </is>
      </c>
    </row>
    <row r="607" ht="22" customHeight="1">
      <c r="A607" t="inlineStr" s="4">
        <is>
          <t>GET|HEAD</t>
        </is>
      </c>
      <c r="B607" t="inlineStr" s="4">
        <is>
          <t>tickets/scan/result/{status}</t>
        </is>
      </c>
      <c r="C607" t="inlineStr" s="4">
        <is>
          <t>tickets.scan.result</t>
        </is>
      </c>
      <c r="D607" t="inlineStr" s="4">
        <is>
          <t>Other / Legacy / Shared</t>
        </is>
      </c>
      <c r="E607" t="inlineStr" s="4">
        <is>
          <t>Guest/Public</t>
        </is>
      </c>
      <c r="F607" t="inlineStr" s="4">
        <is>
          <t>App\Http\Controllers\PublicWisataTicketScanController@result</t>
        </is>
      </c>
      <c r="G607" t="inlineStr" s="4">
        <is>
          <t>web, Illuminate\Auth\Middleware\Authenticate, Illuminate\Auth\Middleware\EnsureEmailIsVerified, App\Http\Middleware\EnsureUser, App\Http\Middleware\LogUserActivity</t>
        </is>
      </c>
    </row>
    <row r="608" ht="22" customHeight="1">
      <c r="A608" t="inlineStr" s="4">
        <is>
          <t>POST</t>
        </is>
      </c>
      <c r="B608" t="inlineStr" s="4">
        <is>
          <t>tickets/scan/use</t>
        </is>
      </c>
      <c r="C608" t="inlineStr" s="4">
        <is>
          <t>tickets.scan.use</t>
        </is>
      </c>
      <c r="D608" t="inlineStr" s="4">
        <is>
          <t>Other / Legacy / Shared</t>
        </is>
      </c>
      <c r="E608" t="inlineStr" s="4">
        <is>
          <t>Guest/Public</t>
        </is>
      </c>
      <c r="F608" t="inlineStr" s="4">
        <is>
          <t>App\Http\Controllers\PublicWisataTicketScanController@use</t>
        </is>
      </c>
      <c r="G608" t="inlineStr" s="4">
        <is>
          <t>web, Illuminate\Auth\Middleware\Authenticate, Illuminate\Auth\Middleware\EnsureEmailIsVerified, App\Http\Middleware\EnsureUser, App\Http\Middleware\LogUserActivity</t>
        </is>
      </c>
    </row>
    <row r="609" ht="22" customHeight="1">
      <c r="A609" t="inlineStr" s="4">
        <is>
          <t>GET|HEAD</t>
        </is>
      </c>
      <c r="B609" t="inlineStr" s="4">
        <is>
          <t>two-factor-challenge</t>
        </is>
      </c>
      <c r="C609" t="inlineStr" s="4">
        <is>
          <t>two-factor.login</t>
        </is>
      </c>
      <c r="D609" t="inlineStr" s="4">
        <is>
          <t>Authentication</t>
        </is>
      </c>
      <c r="E609" t="inlineStr" s="4">
        <is>
          <t>Guest/Public</t>
        </is>
      </c>
      <c r="F609" t="inlineStr" s="4">
        <is>
          <t>Laravel\Fortify\Http\Controllers\TwoFactorAuthenticatedSessionController@create</t>
        </is>
      </c>
      <c r="G609" t="inlineStr" s="4">
        <is>
          <t>web, Illuminate\Auth\Middleware\RedirectIfAuthenticated:web</t>
        </is>
      </c>
    </row>
    <row r="610" ht="22" customHeight="1">
      <c r="A610" t="inlineStr" s="4">
        <is>
          <t>POST</t>
        </is>
      </c>
      <c r="B610" t="inlineStr" s="4">
        <is>
          <t>two-factor-challenge</t>
        </is>
      </c>
      <c r="C610" t="inlineStr" s="4">
        <is>
          <t>two-factor.login.store</t>
        </is>
      </c>
      <c r="D610" t="inlineStr" s="4">
        <is>
          <t>Authentication</t>
        </is>
      </c>
      <c r="E610" t="inlineStr" s="4">
        <is>
          <t>Guest/Public</t>
        </is>
      </c>
      <c r="F610" t="inlineStr" s="4">
        <is>
          <t>Laravel\Fortify\Http\Controllers\TwoFactorAuthenticatedSessionController@store</t>
        </is>
      </c>
      <c r="G610" t="inlineStr" s="4">
        <is>
          <t>web, Illuminate\Auth\Middleware\RedirectIfAuthenticated:web, Illuminate\Routing\Middleware\ThrottleRequests:two-factor</t>
        </is>
      </c>
    </row>
    <row r="611" ht="22" customHeight="1">
      <c r="A611" t="inlineStr" s="4">
        <is>
          <t>GET|HEAD</t>
        </is>
      </c>
      <c r="B611" t="inlineStr" s="4">
        <is>
          <t>up</t>
        </is>
      </c>
      <c r="C611" s="4"/>
      <c r="D611" t="inlineStr" s="4">
        <is>
          <t>Other / Legacy / Shared</t>
        </is>
      </c>
      <c r="E611" t="inlineStr" s="4">
        <is>
          <t>Guest/Public</t>
        </is>
      </c>
      <c r="F611" t="inlineStr" s="4">
        <is>
          <t>Closure</t>
        </is>
      </c>
      <c r="G611" s="4"/>
    </row>
    <row r="612" ht="22" customHeight="1">
      <c r="A612" t="inlineStr" s="4">
        <is>
          <t>GET|HEAD</t>
        </is>
      </c>
      <c r="B612" t="inlineStr" s="4">
        <is>
          <t>user/confirm-password</t>
        </is>
      </c>
      <c r="C612" t="inlineStr" s="4">
        <is>
          <t>password.confirm</t>
        </is>
      </c>
      <c r="D612" t="inlineStr" s="4">
        <is>
          <t>Other / Legacy / Shared</t>
        </is>
      </c>
      <c r="E612" t="inlineStr" s="4">
        <is>
          <t>Guest/Public</t>
        </is>
      </c>
      <c r="F612" t="inlineStr" s="4">
        <is>
          <t>Laravel\Fortify\Http\Controllers\ConfirmablePasswordController@show</t>
        </is>
      </c>
      <c r="G612" t="inlineStr" s="4">
        <is>
          <t>web, Illuminate\Auth\Middleware\Authenticate:web</t>
        </is>
      </c>
    </row>
    <row r="613" ht="22" customHeight="1">
      <c r="A613" t="inlineStr" s="4">
        <is>
          <t>POST</t>
        </is>
      </c>
      <c r="B613" t="inlineStr" s="4">
        <is>
          <t>user/confirm-password</t>
        </is>
      </c>
      <c r="C613" t="inlineStr" s="4">
        <is>
          <t>password.confirm.store</t>
        </is>
      </c>
      <c r="D613" t="inlineStr" s="4">
        <is>
          <t>Other / Legacy / Shared</t>
        </is>
      </c>
      <c r="E613" t="inlineStr" s="4">
        <is>
          <t>Guest/Public</t>
        </is>
      </c>
      <c r="F613" t="inlineStr" s="4">
        <is>
          <t>Laravel\Fortify\Http\Controllers\ConfirmablePasswordController@store</t>
        </is>
      </c>
      <c r="G613" t="inlineStr" s="4">
        <is>
          <t>web, Illuminate\Auth\Middleware\Authenticate:web</t>
        </is>
      </c>
    </row>
    <row r="614" ht="22" customHeight="1">
      <c r="A614" t="inlineStr" s="4">
        <is>
          <t>GET|HEAD</t>
        </is>
      </c>
      <c r="B614" t="inlineStr" s="4">
        <is>
          <t>user/confirmed-password-status</t>
        </is>
      </c>
      <c r="C614" t="inlineStr" s="4">
        <is>
          <t>password.confirmation</t>
        </is>
      </c>
      <c r="D614" t="inlineStr" s="4">
        <is>
          <t>Other / Legacy / Shared</t>
        </is>
      </c>
      <c r="E614" t="inlineStr" s="4">
        <is>
          <t>Guest/Public</t>
        </is>
      </c>
      <c r="F614" t="inlineStr" s="4">
        <is>
          <t>Laravel\Fortify\Http\Controllers\ConfirmedPasswordStatusController@show</t>
        </is>
      </c>
      <c r="G614" t="inlineStr" s="4">
        <is>
          <t>web, Illuminate\Auth\Middleware\Authenticate:web</t>
        </is>
      </c>
    </row>
    <row r="615" ht="22" customHeight="1">
      <c r="A615" t="inlineStr" s="4">
        <is>
          <t>POST</t>
        </is>
      </c>
      <c r="B615" t="inlineStr" s="4">
        <is>
          <t>user/confirmed-two-factor-authentication</t>
        </is>
      </c>
      <c r="C615" t="inlineStr" s="4">
        <is>
          <t>two-factor.confirm</t>
        </is>
      </c>
      <c r="D615" t="inlineStr" s="4">
        <is>
          <t>Other / Legacy / Shared</t>
        </is>
      </c>
      <c r="E615" t="inlineStr" s="4">
        <is>
          <t>Guest/Public</t>
        </is>
      </c>
      <c r="F615" t="inlineStr" s="4">
        <is>
          <t>Laravel\Fortify\Http\Controllers\ConfirmedTwoFactorAuthenticationController@store</t>
        </is>
      </c>
      <c r="G615" t="inlineStr" s="4">
        <is>
          <t>web, Illuminate\Auth\Middleware\Authenticate:web, Illuminate\Auth\Middleware\RequirePassword</t>
        </is>
      </c>
    </row>
    <row r="616" ht="22" customHeight="1">
      <c r="A616" t="inlineStr" s="4">
        <is>
          <t>POST</t>
        </is>
      </c>
      <c r="B616" t="inlineStr" s="4">
        <is>
          <t>user/two-factor-authentication</t>
        </is>
      </c>
      <c r="C616" t="inlineStr" s="4">
        <is>
          <t>two-factor.enable</t>
        </is>
      </c>
      <c r="D616" t="inlineStr" s="4">
        <is>
          <t>Other / Legacy / Shared</t>
        </is>
      </c>
      <c r="E616" t="inlineStr" s="4">
        <is>
          <t>Guest/Public</t>
        </is>
      </c>
      <c r="F616" t="inlineStr" s="4">
        <is>
          <t>Laravel\Fortify\Http\Controllers\TwoFactorAuthenticationController@store</t>
        </is>
      </c>
      <c r="G616" t="inlineStr" s="4">
        <is>
          <t>web, Illuminate\Auth\Middleware\Authenticate:web, Illuminate\Auth\Middleware\RequirePassword</t>
        </is>
      </c>
    </row>
    <row r="617" ht="22" customHeight="1">
      <c r="A617" t="inlineStr" s="4">
        <is>
          <t>DELETE</t>
        </is>
      </c>
      <c r="B617" t="inlineStr" s="4">
        <is>
          <t>user/two-factor-authentication</t>
        </is>
      </c>
      <c r="C617" t="inlineStr" s="4">
        <is>
          <t>two-factor.disable</t>
        </is>
      </c>
      <c r="D617" t="inlineStr" s="4">
        <is>
          <t>Other / Legacy / Shared</t>
        </is>
      </c>
      <c r="E617" t="inlineStr" s="4">
        <is>
          <t>Guest/Public</t>
        </is>
      </c>
      <c r="F617" t="inlineStr" s="4">
        <is>
          <t>Laravel\Fortify\Http\Controllers\TwoFactorAuthenticationController@destroy</t>
        </is>
      </c>
      <c r="G617" t="inlineStr" s="4">
        <is>
          <t>web, Illuminate\Auth\Middleware\Authenticate:web, Illuminate\Auth\Middleware\RequirePassword</t>
        </is>
      </c>
    </row>
    <row r="618" ht="22" customHeight="1">
      <c r="A618" t="inlineStr" s="4">
        <is>
          <t>GET|HEAD</t>
        </is>
      </c>
      <c r="B618" t="inlineStr" s="4">
        <is>
          <t>user/two-factor-qr-code</t>
        </is>
      </c>
      <c r="C618" t="inlineStr" s="4">
        <is>
          <t>two-factor.qr-code</t>
        </is>
      </c>
      <c r="D618" t="inlineStr" s="4">
        <is>
          <t>Other / Legacy / Shared</t>
        </is>
      </c>
      <c r="E618" t="inlineStr" s="4">
        <is>
          <t>Guest/Public</t>
        </is>
      </c>
      <c r="F618" t="inlineStr" s="4">
        <is>
          <t>Laravel\Fortify\Http\Controllers\TwoFactorQrCodeController@show</t>
        </is>
      </c>
      <c r="G618" t="inlineStr" s="4">
        <is>
          <t>web, Illuminate\Auth\Middleware\Authenticate:web, Illuminate\Auth\Middleware\RequirePassword</t>
        </is>
      </c>
    </row>
    <row r="619" ht="22" customHeight="1">
      <c r="A619" t="inlineStr" s="4">
        <is>
          <t>GET|HEAD</t>
        </is>
      </c>
      <c r="B619" t="inlineStr" s="4">
        <is>
          <t>user/two-factor-recovery-codes</t>
        </is>
      </c>
      <c r="C619" t="inlineStr" s="4">
        <is>
          <t>two-factor.recovery-codes</t>
        </is>
      </c>
      <c r="D619" t="inlineStr" s="4">
        <is>
          <t>Other / Legacy / Shared</t>
        </is>
      </c>
      <c r="E619" t="inlineStr" s="4">
        <is>
          <t>Guest/Public</t>
        </is>
      </c>
      <c r="F619" t="inlineStr" s="4">
        <is>
          <t>Laravel\Fortify\Http\Controllers\RecoveryCodeController@index</t>
        </is>
      </c>
      <c r="G619" t="inlineStr" s="4">
        <is>
          <t>web, Illuminate\Auth\Middleware\Authenticate:web, Illuminate\Auth\Middleware\RequirePassword</t>
        </is>
      </c>
    </row>
    <row r="620" ht="22" customHeight="1">
      <c r="A620" t="inlineStr" s="4">
        <is>
          <t>POST</t>
        </is>
      </c>
      <c r="B620" t="inlineStr" s="4">
        <is>
          <t>user/two-factor-recovery-codes</t>
        </is>
      </c>
      <c r="C620" t="inlineStr" s="4">
        <is>
          <t>two-factor.regenerate-recovery-codes</t>
        </is>
      </c>
      <c r="D620" t="inlineStr" s="4">
        <is>
          <t>Other / Legacy / Shared</t>
        </is>
      </c>
      <c r="E620" t="inlineStr" s="4">
        <is>
          <t>Guest/Public</t>
        </is>
      </c>
      <c r="F620" t="inlineStr" s="4">
        <is>
          <t>Laravel\Fortify\Http\Controllers\RecoveryCodeController@store</t>
        </is>
      </c>
      <c r="G620" t="inlineStr" s="4">
        <is>
          <t>web, Illuminate\Auth\Middleware\Authenticate:web, Illuminate\Auth\Middleware\RequirePassword</t>
        </is>
      </c>
    </row>
    <row r="621" ht="22" customHeight="1">
      <c r="A621" t="inlineStr" s="4">
        <is>
          <t>GET|HEAD</t>
        </is>
      </c>
      <c r="B621" t="inlineStr" s="4">
        <is>
          <t>user/two-factor-secret-key</t>
        </is>
      </c>
      <c r="C621" t="inlineStr" s="4">
        <is>
          <t>two-factor.secret-key</t>
        </is>
      </c>
      <c r="D621" t="inlineStr" s="4">
        <is>
          <t>Other / Legacy / Shared</t>
        </is>
      </c>
      <c r="E621" t="inlineStr" s="4">
        <is>
          <t>Guest/Public</t>
        </is>
      </c>
      <c r="F621" t="inlineStr" s="4">
        <is>
          <t>Laravel\Fortify\Http\Controllers\TwoFactorSecretKeyController@show</t>
        </is>
      </c>
      <c r="G621" t="inlineStr" s="4">
        <is>
          <t>web, Illuminate\Auth\Middleware\Authenticate:web, Illuminate\Auth\Middleware\RequirePassword</t>
        </is>
      </c>
    </row>
    <row r="622" ht="22" customHeight="1">
      <c r="A622" t="inlineStr" s="4">
        <is>
          <t>GET|HEAD</t>
        </is>
      </c>
      <c r="B622" t="inlineStr" s="4">
        <is>
          <t>wisata</t>
        </is>
      </c>
      <c r="C622" t="inlineStr" s="4">
        <is>
          <t>wisata.search</t>
        </is>
      </c>
      <c r="D622" t="inlineStr" s="4">
        <is>
          <t>Public Wisata</t>
        </is>
      </c>
      <c r="E622" t="inlineStr" s="4">
        <is>
          <t>Guest/Public</t>
        </is>
      </c>
      <c r="F622" t="inlineStr" s="4">
        <is>
          <t>App\Http\Controllers\PublicWisataController@index</t>
        </is>
      </c>
      <c r="G622" t="inlineStr" s="4">
        <is>
          <t>web</t>
        </is>
      </c>
    </row>
    <row r="623" ht="22" customHeight="1">
      <c r="A623" t="inlineStr" s="4">
        <is>
          <t>POST</t>
        </is>
      </c>
      <c r="B623" t="inlineStr" s="4">
        <is>
          <t>wisata/booking/confirm</t>
        </is>
      </c>
      <c r="C623" t="inlineStr" s="4">
        <is>
          <t>wisata.booking.confirm</t>
        </is>
      </c>
      <c r="D623" t="inlineStr" s="4">
        <is>
          <t>Public Wisata</t>
        </is>
      </c>
      <c r="E623" t="inlineStr" s="4">
        <is>
          <t>Guest/Public</t>
        </is>
      </c>
      <c r="F623" t="inlineStr" s="4">
        <is>
          <t>App\Http\Controllers\WisataBookingController@confirm</t>
        </is>
      </c>
      <c r="G623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624" ht="22" customHeight="1">
      <c r="A624" t="inlineStr" s="4">
        <is>
          <t>POST</t>
        </is>
      </c>
      <c r="B624" t="inlineStr" s="4">
        <is>
          <t>wisata/booking/prepare</t>
        </is>
      </c>
      <c r="C624" t="inlineStr" s="4">
        <is>
          <t>wisata.booking.prepare</t>
        </is>
      </c>
      <c r="D624" t="inlineStr" s="4">
        <is>
          <t>Public Wisata</t>
        </is>
      </c>
      <c r="E624" t="inlineStr" s="4">
        <is>
          <t>Guest/Public</t>
        </is>
      </c>
      <c r="F624" t="inlineStr" s="4">
        <is>
          <t>App\Http\Controllers\WisataBookingController@prepare</t>
        </is>
      </c>
      <c r="G624" t="inlineStr" s="4">
        <is>
          <t>web, App\Http\Middleware\EnsureTransactionsAvailable</t>
        </is>
      </c>
    </row>
    <row r="625" ht="22" customHeight="1">
      <c r="A625" t="inlineStr" s="4">
        <is>
          <t>GET|HEAD</t>
        </is>
      </c>
      <c r="B625" t="inlineStr" s="4">
        <is>
          <t>wisata/booking/review</t>
        </is>
      </c>
      <c r="C625" t="inlineStr" s="4">
        <is>
          <t>wisata.booking.review</t>
        </is>
      </c>
      <c r="D625" t="inlineStr" s="4">
        <is>
          <t>Public Wisata</t>
        </is>
      </c>
      <c r="E625" t="inlineStr" s="4">
        <is>
          <t>Guest/Public</t>
        </is>
      </c>
      <c r="F625" t="inlineStr" s="4">
        <is>
          <t>App\Http\Controllers\WisataBookingController@review</t>
        </is>
      </c>
      <c r="G625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626" ht="22" customHeight="1">
      <c r="A626" t="inlineStr" s="4">
        <is>
          <t>POST</t>
        </is>
      </c>
      <c r="B626" t="inlineStr" s="4">
        <is>
          <t>wisata/booking/voucher</t>
        </is>
      </c>
      <c r="C626" t="inlineStr" s="4">
        <is>
          <t>wisata.booking.voucher.apply</t>
        </is>
      </c>
      <c r="D626" t="inlineStr" s="4">
        <is>
          <t>Public Wisata</t>
        </is>
      </c>
      <c r="E626" t="inlineStr" s="4">
        <is>
          <t>Guest/Public</t>
        </is>
      </c>
      <c r="F626" t="inlineStr" s="4">
        <is>
          <t>App\Http\Controllers\WisataBookingController@applyVoucher</t>
        </is>
      </c>
      <c r="G626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627" ht="22" customHeight="1">
      <c r="A627" t="inlineStr" s="4">
        <is>
          <t>POST</t>
        </is>
      </c>
      <c r="B627" t="inlineStr" s="4">
        <is>
          <t>wisata/booking/voucher/remove</t>
        </is>
      </c>
      <c r="C627" t="inlineStr" s="4">
        <is>
          <t>wisata.booking.voucher.remove</t>
        </is>
      </c>
      <c r="D627" t="inlineStr" s="4">
        <is>
          <t>Public Wisata</t>
        </is>
      </c>
      <c r="E627" t="inlineStr" s="4">
        <is>
          <t>Guest/Public</t>
        </is>
      </c>
      <c r="F627" t="inlineStr" s="4">
        <is>
          <t>App\Http\Controllers\WisataBookingController@removeVoucher</t>
        </is>
      </c>
      <c r="G627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628" ht="22" customHeight="1">
      <c r="A628" t="inlineStr" s="4">
        <is>
          <t>GET|HEAD</t>
        </is>
      </c>
      <c r="B628" t="inlineStr" s="4">
        <is>
          <t>wisata/booking/{booking}</t>
        </is>
      </c>
      <c r="C628" t="inlineStr" s="4">
        <is>
          <t>wisata.booking.show</t>
        </is>
      </c>
      <c r="D628" t="inlineStr" s="4">
        <is>
          <t>Public Wisata</t>
        </is>
      </c>
      <c r="E628" t="inlineStr" s="4">
        <is>
          <t>Guest/Public</t>
        </is>
      </c>
      <c r="F628" t="inlineStr" s="4">
        <is>
          <t>App\Http\Controllers\WisataBookingController@show</t>
        </is>
      </c>
      <c r="G628" t="inlineStr" s="4">
        <is>
          <t>web, Illuminate\Auth\Middleware\Authenticate, Illuminate\Auth\Middleware\EnsureEmailIsVerified, App\Http\Middleware\EnsureUser, App\Http\Middleware\LogUserActivity</t>
        </is>
      </c>
    </row>
    <row r="629" ht="22" customHeight="1">
      <c r="A629" t="inlineStr" s="4">
        <is>
          <t>GET|HEAD</t>
        </is>
      </c>
      <c r="B629" t="inlineStr" s="4">
        <is>
          <t>wisata/booking/{booking}/payment</t>
        </is>
      </c>
      <c r="C629" t="inlineStr" s="4">
        <is>
          <t>wisata.booking.payment</t>
        </is>
      </c>
      <c r="D629" t="inlineStr" s="4">
        <is>
          <t>Public Wisata</t>
        </is>
      </c>
      <c r="E629" t="inlineStr" s="4">
        <is>
          <t>Guest/Public</t>
        </is>
      </c>
      <c r="F629" t="inlineStr" s="4">
        <is>
          <t>App\Http\Controllers\WisataBookingController@payment</t>
        </is>
      </c>
      <c r="G629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630" ht="22" customHeight="1">
      <c r="A630" t="inlineStr" s="4">
        <is>
          <t>POST</t>
        </is>
      </c>
      <c r="B630" t="inlineStr" s="4">
        <is>
          <t>wisata/booking/{booking}/payment</t>
        </is>
      </c>
      <c r="C630" t="inlineStr" s="4">
        <is>
          <t>wisata.booking.pay</t>
        </is>
      </c>
      <c r="D630" t="inlineStr" s="4">
        <is>
          <t>Public Wisata</t>
        </is>
      </c>
      <c r="E630" t="inlineStr" s="4">
        <is>
          <t>Guest/Public</t>
        </is>
      </c>
      <c r="F630" t="inlineStr" s="4">
        <is>
          <t>App\Http\Controllers\WisataBookingController@pay</t>
        </is>
      </c>
      <c r="G630" t="inlineStr" s="4">
        <is>
          <t>web, Illuminate\Auth\Middleware\Authenticate, Illuminate\Auth\Middleware\EnsureEmailIsVerified, App\Http\Middleware\EnsureUser, App\Http\Middleware\LogUserActivity, App\Http\Middleware\EnsureTransactionsAvailable</t>
        </is>
      </c>
    </row>
    <row r="631" ht="22" customHeight="1">
      <c r="A631" t="inlineStr" s="4">
        <is>
          <t>GET|HEAD</t>
        </is>
      </c>
      <c r="B631" t="inlineStr" s="4">
        <is>
          <t>wisata/booking/{booking}/ticket</t>
        </is>
      </c>
      <c r="C631" t="inlineStr" s="4">
        <is>
          <t>wisata.booking.ticket</t>
        </is>
      </c>
      <c r="D631" t="inlineStr" s="4">
        <is>
          <t>Public Wisata</t>
        </is>
      </c>
      <c r="E631" t="inlineStr" s="4">
        <is>
          <t>Guest/Public</t>
        </is>
      </c>
      <c r="F631" t="inlineStr" s="4">
        <is>
          <t>App\Http\Controllers\WisataBookingController@ticket</t>
        </is>
      </c>
      <c r="G631" t="inlineStr" s="4">
        <is>
          <t>web, Illuminate\Auth\Middleware\Authenticate, Illuminate\Auth\Middleware\EnsureEmailIsVerified, App\Http\Middleware\EnsureUser, App\Http\Middleware\LogUserActivity</t>
        </is>
      </c>
    </row>
    <row r="632" ht="22" customHeight="1">
      <c r="A632" t="inlineStr" s="4">
        <is>
          <t>GET|HEAD</t>
        </is>
      </c>
      <c r="B632" t="inlineStr" s="4">
        <is>
          <t>wisata/history</t>
        </is>
      </c>
      <c r="C632" t="inlineStr" s="4">
        <is>
          <t>public.wisata.history</t>
        </is>
      </c>
      <c r="D632" t="inlineStr" s="4">
        <is>
          <t>Public Wisata</t>
        </is>
      </c>
      <c r="E632" t="inlineStr" s="4">
        <is>
          <t>Guest/Public</t>
        </is>
      </c>
      <c r="F632" t="inlineStr" s="4">
        <is>
          <t>App\Http\Controllers\PublicWisataHistoryController@index</t>
        </is>
      </c>
      <c r="G632" t="inlineStr" s="4">
        <is>
          <t>web, Illuminate\Auth\Middleware\Authenticate, Illuminate\Auth\Middleware\EnsureEmailIsVerified, App\Http\Middleware\EnsureUser, App\Http\Middleware\LogUserActivity</t>
        </is>
      </c>
    </row>
    <row r="633" ht="22" customHeight="1">
      <c r="A633" t="inlineStr" s="4">
        <is>
          <t>GET|HEAD</t>
        </is>
      </c>
      <c r="B633" t="inlineStr" s="4">
        <is>
          <t>wisata/{destination}</t>
        </is>
      </c>
      <c r="C633" t="inlineStr" s="4">
        <is>
          <t>wisata.show</t>
        </is>
      </c>
      <c r="D633" t="inlineStr" s="4">
        <is>
          <t>Public Wisata</t>
        </is>
      </c>
      <c r="E633" t="inlineStr" s="4">
        <is>
          <t>Guest/Public</t>
        </is>
      </c>
      <c r="F633" t="inlineStr" s="4">
        <is>
          <t>App\Http\Controllers\PublicWisataController@show</t>
        </is>
      </c>
      <c r="G633" t="inlineStr" s="4">
        <is>
          <t>web</t>
        </is>
      </c>
    </row>
  </sheetData>
  <autoFilter ref="A1:G63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" customWidth="1"/>
    <col min="2" max="2" width="26" customWidth="1"/>
    <col min="3" max="3" width="70" customWidth="1"/>
  </cols>
  <sheetData>
    <row r="1" ht="28" customHeight="1">
      <c r="A1" t="inlineStr" s="2">
        <is>
          <t>Test File</t>
        </is>
      </c>
      <c r="B1" t="inlineStr" s="2">
        <is>
          <t>Inferred Area</t>
        </is>
      </c>
      <c r="C1" t="inlineStr" s="2">
        <is>
          <t>Notes</t>
        </is>
      </c>
    </row>
    <row r="2" ht="22" customHeight="1">
      <c r="A2" t="inlineStr" s="4">
        <is>
          <t>tests/Feature/Admin/AdminAuditLogTest.php</t>
        </is>
      </c>
      <c r="B2" t="inlineStr" s="4">
        <is>
          <t>Feature</t>
        </is>
      </c>
      <c r="C2" t="inlineStr" s="4">
        <is>
          <t>Existing automated test reference; manual execution status remains Not Run in QA workbook.</t>
        </is>
      </c>
    </row>
    <row r="3" ht="22" customHeight="1">
      <c r="A3" t="inlineStr" s="4">
        <is>
          <t>tests/Feature/Admin/AdminCrudUploadTest.php</t>
        </is>
      </c>
      <c r="B3" t="inlineStr" s="4">
        <is>
          <t>Feature</t>
        </is>
      </c>
      <c r="C3" t="inlineStr" s="4">
        <is>
          <t>Existing automated test reference; manual execution status remains Not Run in QA workbook.</t>
        </is>
      </c>
    </row>
    <row r="4" ht="22" customHeight="1">
      <c r="A4" t="inlineStr" s="4">
        <is>
          <t>tests/Feature/Admin/AdminOwnedProductScopeTest.php</t>
        </is>
      </c>
      <c r="B4" t="inlineStr" s="4">
        <is>
          <t>Feature</t>
        </is>
      </c>
      <c r="C4" t="inlineStr" s="4">
        <is>
          <t>Existing automated test reference; manual execution status remains Not Run in QA workbook.</t>
        </is>
      </c>
    </row>
    <row r="5" ht="22" customHeight="1">
      <c r="A5" t="inlineStr" s="4">
        <is>
          <t>tests/Feature/Admin/DashboardScopeTest.php</t>
        </is>
      </c>
      <c r="B5" t="inlineStr" s="4">
        <is>
          <t>Feature</t>
        </is>
      </c>
      <c r="C5" t="inlineStr" s="4">
        <is>
          <t>Existing automated test reference; manual execution status remains Not Run in QA workbook.</t>
        </is>
      </c>
    </row>
    <row r="6" ht="22" customHeight="1">
      <c r="A6" t="inlineStr" s="4">
        <is>
          <t>tests/Feature/Admin/EventFilterTest.php</t>
        </is>
      </c>
      <c r="B6" t="inlineStr" s="4">
        <is>
          <t>Feature</t>
        </is>
      </c>
      <c r="C6" t="inlineStr" s="4">
        <is>
          <t>Existing automated test reference; manual execution status remains Not Run in QA workbook.</t>
        </is>
      </c>
    </row>
    <row r="7" ht="22" customHeight="1">
      <c r="A7" t="inlineStr" s="4">
        <is>
          <t>tests/Feature/Admin/EventTicketCreationTest.php</t>
        </is>
      </c>
      <c r="B7" t="inlineStr" s="4">
        <is>
          <t>Feature</t>
        </is>
      </c>
      <c r="C7" t="inlineStr" s="4">
        <is>
          <t>Existing automated test reference; manual execution status remains Not Run in QA workbook.</t>
        </is>
      </c>
    </row>
    <row r="8" ht="22" customHeight="1">
      <c r="A8" t="inlineStr" s="4">
        <is>
          <t>tests/Feature/Admin/HomeContentTest.php</t>
        </is>
      </c>
      <c r="B8" t="inlineStr" s="4">
        <is>
          <t>Feature</t>
        </is>
      </c>
      <c r="C8" t="inlineStr" s="4">
        <is>
          <t>Existing automated test reference; manual execution status remains Not Run in QA workbook.</t>
        </is>
      </c>
    </row>
    <row r="9" ht="22" customHeight="1">
      <c r="A9" t="inlineStr" s="4">
        <is>
          <t>tests/Feature/Admin/MitraDeletionTest.php</t>
        </is>
      </c>
      <c r="B9" t="inlineStr" s="4">
        <is>
          <t>Feature</t>
        </is>
      </c>
      <c r="C9" t="inlineStr" s="4">
        <is>
          <t>Existing automated test reference; manual execution status remains Not Run in QA workbook.</t>
        </is>
      </c>
    </row>
    <row r="10" ht="22" customHeight="1">
      <c r="A10" t="inlineStr" s="4">
        <is>
          <t>tests/Feature/Admin/RoleManagementCrudTest.php</t>
        </is>
      </c>
      <c r="B10" t="inlineStr" s="4">
        <is>
          <t>Feature</t>
        </is>
      </c>
      <c r="C10" t="inlineStr" s="4">
        <is>
          <t>Existing automated test reference; manual execution status remains Not Run in QA workbook.</t>
        </is>
      </c>
    </row>
    <row r="11" ht="22" customHeight="1">
      <c r="A11" t="inlineStr" s="4">
        <is>
          <t>tests/Feature/Admin/SouvenirFulfillmentTest.php</t>
        </is>
      </c>
      <c r="B11" t="inlineStr" s="4">
        <is>
          <t>Feature</t>
        </is>
      </c>
      <c r="C11" t="inlineStr" s="4">
        <is>
          <t>Existing automated test reference; manual execution status remains Not Run in QA workbook.</t>
        </is>
      </c>
    </row>
    <row r="12" ht="22" customHeight="1">
      <c r="A12" t="inlineStr" s="4">
        <is>
          <t>tests/Feature/Admin/SystemResetTest.php</t>
        </is>
      </c>
      <c r="B12" t="inlineStr" s="4">
        <is>
          <t>Feature</t>
        </is>
      </c>
      <c r="C12" t="inlineStr" s="4">
        <is>
          <t>Existing automated test reference; manual execution status remains Not Run in QA workbook.</t>
        </is>
      </c>
    </row>
    <row r="13" ht="22" customHeight="1">
      <c r="A13" t="inlineStr" s="4">
        <is>
          <t>tests/Feature/Admin/SystemSettingsTest.php</t>
        </is>
      </c>
      <c r="B13" t="inlineStr" s="4">
        <is>
          <t>Feature</t>
        </is>
      </c>
      <c r="C13" t="inlineStr" s="4">
        <is>
          <t>Existing automated test reference; manual execution status remains Not Run in QA workbook.</t>
        </is>
      </c>
    </row>
    <row r="14" ht="22" customHeight="1">
      <c r="A14" t="inlineStr" s="4">
        <is>
          <t>tests/Feature/Admin/UserDeletionTest.php</t>
        </is>
      </c>
      <c r="B14" t="inlineStr" s="4">
        <is>
          <t>Feature</t>
        </is>
      </c>
      <c r="C14" t="inlineStr" s="4">
        <is>
          <t>Existing automated test reference; manual execution status remains Not Run in QA workbook.</t>
        </is>
      </c>
    </row>
    <row r="15" ht="22" customHeight="1">
      <c r="A15" t="inlineStr" s="4">
        <is>
          <t>tests/Feature/Admin/UserManagementCrudTest.php</t>
        </is>
      </c>
      <c r="B15" t="inlineStr" s="4">
        <is>
          <t>Feature</t>
        </is>
      </c>
      <c r="C15" t="inlineStr" s="4">
        <is>
          <t>Existing automated test reference; manual execution status remains Not Run in QA workbook.</t>
        </is>
      </c>
    </row>
    <row r="16" ht="22" customHeight="1">
      <c r="A16" t="inlineStr" s="4">
        <is>
          <t>tests/Feature/Admin/WisataEntryQrTemplateTest.php</t>
        </is>
      </c>
      <c r="B16" t="inlineStr" s="4">
        <is>
          <t>Feature</t>
        </is>
      </c>
      <c r="C16" t="inlineStr" s="4">
        <is>
          <t>Existing automated test reference; manual execution status remains Not Run in QA workbook.</t>
        </is>
      </c>
    </row>
    <row r="17" ht="22" customHeight="1">
      <c r="A17" t="inlineStr" s="4">
        <is>
          <t>tests/Feature/Admin/WisataVoucherManagementTest.php</t>
        </is>
      </c>
      <c r="B17" t="inlineStr" s="4">
        <is>
          <t>Feature</t>
        </is>
      </c>
      <c r="C17" t="inlineStr" s="4">
        <is>
          <t>Existing automated test reference; manual execution status remains Not Run in QA workbook.</t>
        </is>
      </c>
    </row>
    <row r="18" ht="22" customHeight="1">
      <c r="A18" t="inlineStr" s="4">
        <is>
          <t>tests/Feature/Api/HotelBookingQuoteTest.php</t>
        </is>
      </c>
      <c r="B18" t="inlineStr" s="4">
        <is>
          <t>Feature</t>
        </is>
      </c>
      <c r="C18" t="inlineStr" s="4">
        <is>
          <t>Existing automated test reference; manual execution status remains Not Run in QA workbook.</t>
        </is>
      </c>
    </row>
    <row r="19" ht="22" customHeight="1">
      <c r="A19" t="inlineStr" s="4">
        <is>
          <t>tests/Feature/Api/MobileErrorLogTest.php</t>
        </is>
      </c>
      <c r="B19" t="inlineStr" s="4">
        <is>
          <t>Feature</t>
        </is>
      </c>
      <c r="C19" t="inlineStr" s="4">
        <is>
          <t>Existing automated test reference; manual execution status remains Not Run in QA workbook.</t>
        </is>
      </c>
    </row>
    <row r="20" ht="22" customHeight="1">
      <c r="A20" t="inlineStr" s="4">
        <is>
          <t>tests/Feature/Api/RetiredUserSettingsApiTest.php</t>
        </is>
      </c>
      <c r="B20" t="inlineStr" s="4">
        <is>
          <t>Feature</t>
        </is>
      </c>
      <c r="C20" t="inlineStr" s="4">
        <is>
          <t>Existing automated test reference; manual execution status remains Not Run in QA workbook.</t>
        </is>
      </c>
    </row>
    <row r="21" ht="22" customHeight="1">
      <c r="A21" t="inlineStr" s="4">
        <is>
          <t>tests/Feature/Api/WisataVisibilityTest.php</t>
        </is>
      </c>
      <c r="B21" t="inlineStr" s="4">
        <is>
          <t>Feature</t>
        </is>
      </c>
      <c r="C21" t="inlineStr" s="4">
        <is>
          <t>Existing automated test reference; manual execution status remains Not Run in QA workbook.</t>
        </is>
      </c>
    </row>
    <row r="22" ht="22" customHeight="1">
      <c r="A22" t="inlineStr" s="4">
        <is>
          <t>tests/Feature/Auth/AuthenticationTest.php</t>
        </is>
      </c>
      <c r="B22" t="inlineStr" s="4">
        <is>
          <t>Feature</t>
        </is>
      </c>
      <c r="C22" t="inlineStr" s="4">
        <is>
          <t>Existing automated test reference; manual execution status remains Not Run in QA workbook.</t>
        </is>
      </c>
    </row>
    <row r="23" ht="22" customHeight="1">
      <c r="A23" t="inlineStr" s="4">
        <is>
          <t>tests/Feature/Auth/EmailVerificationLinkDeliveryTest.php</t>
        </is>
      </c>
      <c r="B23" t="inlineStr" s="4">
        <is>
          <t>Feature</t>
        </is>
      </c>
      <c r="C23" t="inlineStr" s="4">
        <is>
          <t>Existing automated test reference; manual execution status remains Not Run in QA workbook.</t>
        </is>
      </c>
    </row>
    <row r="24" ht="22" customHeight="1">
      <c r="A24" t="inlineStr" s="4">
        <is>
          <t>tests/Feature/Auth/EmailVerificationTest.php</t>
        </is>
      </c>
      <c r="B24" t="inlineStr" s="4">
        <is>
          <t>Feature</t>
        </is>
      </c>
      <c r="C24" t="inlineStr" s="4">
        <is>
          <t>Existing automated test reference; manual execution status remains Not Run in QA workbook.</t>
        </is>
      </c>
    </row>
    <row r="25" ht="22" customHeight="1">
      <c r="A25" t="inlineStr" s="4">
        <is>
          <t>tests/Feature/Auth/PasskeyAuthenticationTest.php</t>
        </is>
      </c>
      <c r="B25" t="inlineStr" s="4">
        <is>
          <t>Feature</t>
        </is>
      </c>
      <c r="C25" t="inlineStr" s="4">
        <is>
          <t>Existing automated test reference; manual execution status remains Not Run in QA workbook.</t>
        </is>
      </c>
    </row>
    <row r="26" ht="22" customHeight="1">
      <c r="A26" t="inlineStr" s="4">
        <is>
          <t>tests/Feature/Auth/PasswordConfirmationTest.php</t>
        </is>
      </c>
      <c r="B26" t="inlineStr" s="4">
        <is>
          <t>Feature</t>
        </is>
      </c>
      <c r="C26" t="inlineStr" s="4">
        <is>
          <t>Existing automated test reference; manual execution status remains Not Run in QA workbook.</t>
        </is>
      </c>
    </row>
    <row r="27" ht="22" customHeight="1">
      <c r="A27" t="inlineStr" s="4">
        <is>
          <t>tests/Feature/Auth/PasswordResetTest.php</t>
        </is>
      </c>
      <c r="B27" t="inlineStr" s="4">
        <is>
          <t>Feature</t>
        </is>
      </c>
      <c r="C27" t="inlineStr" s="4">
        <is>
          <t>Existing automated test reference; manual execution status remains Not Run in QA workbook.</t>
        </is>
      </c>
    </row>
    <row r="28" ht="22" customHeight="1">
      <c r="A28" t="inlineStr" s="4">
        <is>
          <t>tests/Feature/Auth/RegistrationTest.php</t>
        </is>
      </c>
      <c r="B28" t="inlineStr" s="4">
        <is>
          <t>Feature</t>
        </is>
      </c>
      <c r="C28" t="inlineStr" s="4">
        <is>
          <t>Existing automated test reference; manual execution status remains Not Run in QA workbook.</t>
        </is>
      </c>
    </row>
    <row r="29" ht="22" customHeight="1">
      <c r="A29" t="inlineStr" s="4">
        <is>
          <t>tests/Feature/Auth/TwoFactorChallengeTest.php</t>
        </is>
      </c>
      <c r="B29" t="inlineStr" s="4">
        <is>
          <t>Feature</t>
        </is>
      </c>
      <c r="C29" t="inlineStr" s="4">
        <is>
          <t>Existing automated test reference; manual execution status remains Not Run in QA workbook.</t>
        </is>
      </c>
    </row>
    <row r="30" ht="22" customHeight="1">
      <c r="A30" t="inlineStr" s="4">
        <is>
          <t>tests/Feature/Auth/VerificationNotificationTest.php</t>
        </is>
      </c>
      <c r="B30" t="inlineStr" s="4">
        <is>
          <t>Feature</t>
        </is>
      </c>
      <c r="C30" t="inlineStr" s="4">
        <is>
          <t>Existing automated test reference; manual execution status remains Not Run in QA workbook.</t>
        </is>
      </c>
    </row>
    <row r="31" ht="22" customHeight="1">
      <c r="A31" t="inlineStr" s="4">
        <is>
          <t>tests/Feature/DashboardTest.php</t>
        </is>
      </c>
      <c r="B31" t="inlineStr" s="4">
        <is>
          <t>Feature</t>
        </is>
      </c>
      <c r="C31" t="inlineStr" s="4">
        <is>
          <t>Existing automated test reference; manual execution status remains Not Run in QA workbook.</t>
        </is>
      </c>
    </row>
    <row r="32" ht="22" customHeight="1">
      <c r="A32" t="inlineStr" s="4">
        <is>
          <t>tests/Feature/DiscoveryApiTest.php</t>
        </is>
      </c>
      <c r="B32" t="inlineStr" s="4">
        <is>
          <t>Feature</t>
        </is>
      </c>
      <c r="C32" t="inlineStr" s="4">
        <is>
          <t>Existing automated test reference; manual execution status remains Not Run in QA workbook.</t>
        </is>
      </c>
    </row>
    <row r="33" ht="22" customHeight="1">
      <c r="A33" t="inlineStr" s="4">
        <is>
          <t>tests/Feature/ExampleTest.php</t>
        </is>
      </c>
      <c r="B33" t="inlineStr" s="4">
        <is>
          <t>Feature</t>
        </is>
      </c>
      <c r="C33" t="inlineStr" s="4">
        <is>
          <t>Existing automated test reference; manual execution status remains Not Run in QA workbook.</t>
        </is>
      </c>
    </row>
    <row r="34" ht="22" customHeight="1">
      <c r="A34" t="inlineStr" s="4">
        <is>
          <t>tests/Feature/MaintenanceModeTest.php</t>
        </is>
      </c>
      <c r="B34" t="inlineStr" s="4">
        <is>
          <t>Feature</t>
        </is>
      </c>
      <c r="C34" t="inlineStr" s="4">
        <is>
          <t>Existing automated test reference; manual execution status remains Not Run in QA workbook.</t>
        </is>
      </c>
    </row>
    <row r="35" ht="22" customHeight="1">
      <c r="A35" t="inlineStr" s="4">
        <is>
          <t>tests/Feature/Mitra/MitraTourismFocusTest.php</t>
        </is>
      </c>
      <c r="B35" t="inlineStr" s="4">
        <is>
          <t>Feature</t>
        </is>
      </c>
      <c r="C35" t="inlineStr" s="4">
        <is>
          <t>Existing automated test reference; manual execution status remains Not Run in QA workbook.</t>
        </is>
      </c>
    </row>
    <row r="36" ht="22" customHeight="1">
      <c r="A36" t="inlineStr" s="4">
        <is>
          <t>tests/Feature/Mitra/PartnerTermsDocumentTest.php</t>
        </is>
      </c>
      <c r="B36" t="inlineStr" s="4">
        <is>
          <t>Feature</t>
        </is>
      </c>
      <c r="C36" t="inlineStr" s="4">
        <is>
          <t>Existing automated test reference; manual execution status remains Not Run in QA workbook.</t>
        </is>
      </c>
    </row>
    <row r="37" ht="22" customHeight="1">
      <c r="A37" t="inlineStr" s="4">
        <is>
          <t>tests/Feature/Mitra/ProductOwnershipAndSuspensionTest.php</t>
        </is>
      </c>
      <c r="B37" t="inlineStr" s="4">
        <is>
          <t>Feature</t>
        </is>
      </c>
      <c r="C37" t="inlineStr" s="4">
        <is>
          <t>Existing automated test reference; manual execution status remains Not Run in QA workbook.</t>
        </is>
      </c>
    </row>
    <row r="38" ht="22" customHeight="1">
      <c r="A38" t="inlineStr" s="4">
        <is>
          <t>tests/Feature/Mitra/WisataOnboardingRouteMethodTest.php</t>
        </is>
      </c>
      <c r="B38" t="inlineStr" s="4">
        <is>
          <t>Feature</t>
        </is>
      </c>
      <c r="C38" t="inlineStr" s="4">
        <is>
          <t>Existing automated test reference; manual execution status remains Not Run in QA workbook.</t>
        </is>
      </c>
    </row>
    <row r="39" ht="22" customHeight="1">
      <c r="A39" t="inlineStr" s="4">
        <is>
          <t>tests/Feature/Mitra/WisataTicketManagementTest.php</t>
        </is>
      </c>
      <c r="B39" t="inlineStr" s="4">
        <is>
          <t>Feature</t>
        </is>
      </c>
      <c r="C39" t="inlineStr" s="4">
        <is>
          <t>Existing automated test reference; manual execution status remains Not Run in QA workbook.</t>
        </is>
      </c>
    </row>
    <row r="40" ht="22" customHeight="1">
      <c r="A40" t="inlineStr" s="4">
        <is>
          <t>tests/Feature/Payments/ApiHotelPaymentTest.php</t>
        </is>
      </c>
      <c r="B40" t="inlineStr" s="4">
        <is>
          <t>Feature</t>
        </is>
      </c>
      <c r="C40" t="inlineStr" s="4">
        <is>
          <t>Existing automated test reference; manual execution status remains Not Run in QA workbook.</t>
        </is>
      </c>
    </row>
    <row r="41" ht="22" customHeight="1">
      <c r="A41" t="inlineStr" s="4">
        <is>
          <t>tests/Feature/Payments/MidtransCallbackTest.php</t>
        </is>
      </c>
      <c r="B41" t="inlineStr" s="4">
        <is>
          <t>Feature</t>
        </is>
      </c>
      <c r="C41" t="inlineStr" s="4">
        <is>
          <t>Existing automated test reference; manual execution status remains Not Run in QA workbook.</t>
        </is>
      </c>
    </row>
    <row r="42" ht="22" customHeight="1">
      <c r="A42" t="inlineStr" s="4">
        <is>
          <t>tests/Feature/Payments/PartnerBalanceAfterPaymentTest.php</t>
        </is>
      </c>
      <c r="B42" t="inlineStr" s="4">
        <is>
          <t>Feature</t>
        </is>
      </c>
      <c r="C42" t="inlineStr" s="4">
        <is>
          <t>Existing automated test reference; manual execution status remains Not Run in QA workbook.</t>
        </is>
      </c>
    </row>
    <row r="43" ht="22" customHeight="1">
      <c r="A43" t="inlineStr" s="4">
        <is>
          <t>tests/Feature/PublicReviewEndpointTest.php</t>
        </is>
      </c>
      <c r="B43" t="inlineStr" s="4">
        <is>
          <t>Feature</t>
        </is>
      </c>
      <c r="C43" t="inlineStr" s="4">
        <is>
          <t>Existing automated test reference; manual execution status remains Not Run in QA workbook.</t>
        </is>
      </c>
    </row>
    <row r="44" ht="22" customHeight="1">
      <c r="A44" t="inlineStr" s="4">
        <is>
          <t>tests/Feature/PublicSeoAndSitemapTest.php</t>
        </is>
      </c>
      <c r="B44" t="inlineStr" s="4">
        <is>
          <t>Feature</t>
        </is>
      </c>
      <c r="C44" t="inlineStr" s="4">
        <is>
          <t>Existing automated test reference; manual execution status remains Not Run in QA workbook.</t>
        </is>
      </c>
    </row>
    <row r="45" ht="22" customHeight="1">
      <c r="A45" t="inlineStr" s="4">
        <is>
          <t>tests/Feature/RedisCacheTest.php</t>
        </is>
      </c>
      <c r="B45" t="inlineStr" s="4">
        <is>
          <t>Feature</t>
        </is>
      </c>
      <c r="C45" t="inlineStr" s="4">
        <is>
          <t>Existing automated test reference; manual execution status remains Not Run in QA workbook.</t>
        </is>
      </c>
    </row>
    <row r="46" ht="22" customHeight="1">
      <c r="A46" t="inlineStr" s="4">
        <is>
          <t>tests/Feature/RetiredProductFeatureTest.php</t>
        </is>
      </c>
      <c r="B46" t="inlineStr" s="4">
        <is>
          <t>Feature</t>
        </is>
      </c>
      <c r="C46" t="inlineStr" s="4">
        <is>
          <t>Existing automated test reference; manual execution status remains Not Run in QA workbook.</t>
        </is>
      </c>
    </row>
    <row r="47" ht="22" customHeight="1">
      <c r="A47" t="inlineStr" s="4">
        <is>
          <t>tests/Feature/ReviewUploadValidationTest.php</t>
        </is>
      </c>
      <c r="B47" t="inlineStr" s="4">
        <is>
          <t>Feature</t>
        </is>
      </c>
      <c r="C47" t="inlineStr" s="4">
        <is>
          <t>Existing automated test reference; manual execution status remains Not Run in QA workbook.</t>
        </is>
      </c>
    </row>
    <row r="48" ht="22" customHeight="1">
      <c r="A48" t="inlineStr" s="4">
        <is>
          <t>tests/Feature/Security/RoleAccessMatrixTest.php</t>
        </is>
      </c>
      <c r="B48" t="inlineStr" s="4">
        <is>
          <t>Feature</t>
        </is>
      </c>
      <c r="C48" t="inlineStr" s="4">
        <is>
          <t>Existing automated test reference; manual execution status remains Not Run in QA workbook.</t>
        </is>
      </c>
    </row>
    <row r="49" ht="22" customHeight="1">
      <c r="A49" t="inlineStr" s="4">
        <is>
          <t>tests/Feature/SecurityOptimizationTest.php</t>
        </is>
      </c>
      <c r="B49" t="inlineStr" s="4">
        <is>
          <t>Feature</t>
        </is>
      </c>
      <c r="C49" t="inlineStr" s="4">
        <is>
          <t>Existing automated test reference; manual execution status remains Not Run in QA workbook.</t>
        </is>
      </c>
    </row>
    <row r="50" ht="22" customHeight="1">
      <c r="A50" t="inlineStr" s="4">
        <is>
          <t>tests/Feature/Settings/PasswordUpdateTest.php</t>
        </is>
      </c>
      <c r="B50" t="inlineStr" s="4">
        <is>
          <t>Feature</t>
        </is>
      </c>
      <c r="C50" t="inlineStr" s="4">
        <is>
          <t>Existing automated test reference; manual execution status remains Not Run in QA workbook.</t>
        </is>
      </c>
    </row>
    <row r="51" ht="22" customHeight="1">
      <c r="A51" t="inlineStr" s="4">
        <is>
          <t>tests/Feature/Settings/ProfileUpdateTest.php</t>
        </is>
      </c>
      <c r="B51" t="inlineStr" s="4">
        <is>
          <t>Feature</t>
        </is>
      </c>
      <c r="C51" t="inlineStr" s="4">
        <is>
          <t>Existing automated test reference; manual execution status remains Not Run in QA workbook.</t>
        </is>
      </c>
    </row>
    <row r="52" ht="22" customHeight="1">
      <c r="A52" t="inlineStr" s="4">
        <is>
          <t>tests/Feature/Settings/TwoFactorAuthenticationTest.php</t>
        </is>
      </c>
      <c r="B52" t="inlineStr" s="4">
        <is>
          <t>Feature</t>
        </is>
      </c>
      <c r="C52" t="inlineStr" s="4">
        <is>
          <t>Existing automated test reference; manual execution status remains Not Run in QA workbook.</t>
        </is>
      </c>
    </row>
    <row r="53" ht="22" customHeight="1">
      <c r="A53" t="inlineStr" s="4">
        <is>
          <t>tests/Feature/WebFeatureSmokeTest.php</t>
        </is>
      </c>
      <c r="B53" t="inlineStr" s="4">
        <is>
          <t>Feature</t>
        </is>
      </c>
      <c r="C53" t="inlineStr" s="4">
        <is>
          <t>Existing automated test reference; manual execution status remains Not Run in QA workbook.</t>
        </is>
      </c>
    </row>
    <row r="54" ht="22" customHeight="1">
      <c r="A54" t="inlineStr" s="4">
        <is>
          <t>tests/Feature/WisataMultiTicketBookingTest.php</t>
        </is>
      </c>
      <c r="B54" t="inlineStr" s="4">
        <is>
          <t>Feature</t>
        </is>
      </c>
      <c r="C54" t="inlineStr" s="4">
        <is>
          <t>Existing automated test reference; manual execution status remains Not Run in QA workbook.</t>
        </is>
      </c>
    </row>
    <row r="55" ht="22" customHeight="1">
      <c r="A55" t="inlineStr" s="4">
        <is>
          <t>tests/Feature/WisataTicketScanAndPackageTest.php</t>
        </is>
      </c>
      <c r="B55" t="inlineStr" s="4">
        <is>
          <t>Feature</t>
        </is>
      </c>
      <c r="C55" t="inlineStr" s="4">
        <is>
          <t>Existing automated test reference; manual execution status remains Not Run in QA workbook.</t>
        </is>
      </c>
    </row>
    <row r="56" ht="22" customHeight="1">
      <c r="A56" t="inlineStr" s="4">
        <is>
          <t>tests/Unit/AdminMitraFieldLabelSourceTest.php</t>
        </is>
      </c>
      <c r="B56" t="inlineStr" s="4">
        <is>
          <t>Unit</t>
        </is>
      </c>
      <c r="C56" t="inlineStr" s="4">
        <is>
          <t>Existing automated test reference; manual execution status remains Not Run in QA workbook.</t>
        </is>
      </c>
    </row>
    <row r="57" ht="22" customHeight="1">
      <c r="A57" t="inlineStr" s="4">
        <is>
          <t>tests/Unit/AdminNavigationSourceTest.php</t>
        </is>
      </c>
      <c r="B57" t="inlineStr" s="4">
        <is>
          <t>Unit</t>
        </is>
      </c>
      <c r="C57" t="inlineStr" s="4">
        <is>
          <t>Existing automated test reference; manual execution status remains Not Run in QA workbook.</t>
        </is>
      </c>
    </row>
    <row r="58" ht="22" customHeight="1">
      <c r="A58" t="inlineStr" s="4">
        <is>
          <t>tests/Unit/ExampleTest.php</t>
        </is>
      </c>
      <c r="B58" t="inlineStr" s="4">
        <is>
          <t>Unit</t>
        </is>
      </c>
      <c r="C58" t="inlineStr" s="4">
        <is>
          <t>Existing automated test reference; manual execution status remains Not Run in QA workbook.</t>
        </is>
      </c>
    </row>
    <row r="59" ht="22" customHeight="1">
      <c r="A59" t="inlineStr" s="4">
        <is>
          <t>tests/Unit/HtmlSanitizerTest.php</t>
        </is>
      </c>
      <c r="B59" t="inlineStr" s="4">
        <is>
          <t>Unit</t>
        </is>
      </c>
      <c r="C59" t="inlineStr" s="4">
        <is>
          <t>Existing automated test reference; manual execution status remains Not Run in QA workbook.</t>
        </is>
      </c>
    </row>
    <row r="60" ht="22" customHeight="1">
      <c r="A60" t="inlineStr" s="4">
        <is>
          <t>tests/Unit/ProductTourSourceTest.php</t>
        </is>
      </c>
      <c r="B60" t="inlineStr" s="4">
        <is>
          <t>Unit</t>
        </is>
      </c>
      <c r="C60" t="inlineStr" s="4">
        <is>
          <t>Existing automated test reference; manual execution status remains Not Run in QA workbook.</t>
        </is>
      </c>
    </row>
    <row r="61" ht="22" customHeight="1">
      <c r="A61" t="inlineStr" s="4">
        <is>
          <t>tests/Unit/PublicHistorySourceTest.php</t>
        </is>
      </c>
      <c r="B61" t="inlineStr" s="4">
        <is>
          <t>Unit</t>
        </is>
      </c>
      <c r="C61" t="inlineStr" s="4">
        <is>
          <t>Existing automated test reference; manual execution status remains Not Run in QA workbook.</t>
        </is>
      </c>
    </row>
    <row r="62" ht="22" customHeight="1">
      <c r="A62" t="inlineStr" s="4">
        <is>
          <t>tests/Unit/PublicHomeSectionOrderTest.php</t>
        </is>
      </c>
      <c r="B62" t="inlineStr" s="4">
        <is>
          <t>Unit</t>
        </is>
      </c>
      <c r="C62" t="inlineStr" s="4">
        <is>
          <t>Existing automated test reference; manual execution status remains Not Run in QA workbook.</t>
        </is>
      </c>
    </row>
    <row r="63" ht="22" customHeight="1">
      <c r="A63" t="inlineStr" s="4">
        <is>
          <t>tests/Unit/PublicMobileExperienceSourceTest.php</t>
        </is>
      </c>
      <c r="B63" t="inlineStr" s="4">
        <is>
          <t>Unit</t>
        </is>
      </c>
      <c r="C63" t="inlineStr" s="4">
        <is>
          <t>Existing automated test reference; manual execution status remains Not Run in QA workbook.</t>
        </is>
      </c>
    </row>
    <row r="64" ht="22" customHeight="1">
      <c r="A64" t="inlineStr" s="4">
        <is>
          <t>tests/Unit/PublicPromoFeatureSourceTest.php</t>
        </is>
      </c>
      <c r="B64" t="inlineStr" s="4">
        <is>
          <t>Unit</t>
        </is>
      </c>
      <c r="C64" t="inlineStr" s="4">
        <is>
          <t>Existing automated test reference; manual execution status remains Not Run in QA workbook.</t>
        </is>
      </c>
    </row>
  </sheetData>
  <autoFilter ref="A1:C6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QA Overview</vt:lpstr>
      <vt:lpstr>Test Plan</vt:lpstr>
      <vt:lpstr>Test Scenarios</vt:lpstr>
      <vt:lpstr>Test Cases</vt:lpstr>
      <vt:lpstr>Regression Suite</vt:lpstr>
      <vt:lpstr>Smoke Test</vt:lpstr>
      <vt:lpstr>Access Control</vt:lpstr>
      <vt:lpstr>Security Test</vt:lpstr>
      <vt:lpstr>Compatibility Test</vt:lpstr>
      <vt:lpstr>Traceability Matrix</vt:lpstr>
      <vt:lpstr>Bug Report</vt:lpstr>
      <vt:lpstr>Test Execution</vt:lpstr>
      <vt:lpstr>Test Environment</vt:lpstr>
      <vt:lpstr>QA Checklist</vt:lpstr>
      <vt:lpstr>Dashboard</vt:lpstr>
      <vt:lpstr>Route Inventory</vt:lpstr>
      <vt:lpstr>Automated Tests</vt:lpstr>
    </vt:vector>
  </TitlesOfParts>
  <Company>Indotix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QA Generator</dc:creator>
  <cp:lastModifiedBy>Codex QA Generator</cp:lastModifiedBy>
  <dcterms:created xsi:type="dcterms:W3CDTF">2026-08-25T03:32:49Z</dcterms:created>
  <dcterms:modified xsi:type="dcterms:W3CDTF">2026-08-25T03:32:49Z</dcterms:modified>
  <dc:title>Indotix QA Test Cases</dc:title>
  <dc:subject>QA Test Plan, Test Cases, Traceability, Regression</dc:subject>
</cp:coreProperties>
</file>